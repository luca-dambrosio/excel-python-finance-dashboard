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tables/table1.xml" ContentType="application/vnd.openxmlformats-officedocument.spreadsheetml.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ucak\Documents\bocconi\dsba\DSBA_SEMESTER_3\APPLIED_NUMERICAL_FINANCE\final_project\PROJECT_ANF\"/>
    </mc:Choice>
  </mc:AlternateContent>
  <xr:revisionPtr revIDLastSave="0" documentId="13_ncr:1_{52D0593D-9E0B-4A61-8944-2B6784B37A79}" xr6:coauthVersionLast="47" xr6:coauthVersionMax="47" xr10:uidLastSave="{00000000-0000-0000-0000-000000000000}"/>
  <bookViews>
    <workbookView xWindow="-98" yWindow="-98" windowWidth="19396" windowHeight="11475" activeTab="1" xr2:uid="{2AC8F865-2E5E-644A-89AD-0B2CD544FE7D}"/>
  </bookViews>
  <sheets>
    <sheet name="MAIN" sheetId="1" r:id="rId1"/>
    <sheet name="PORTFOLIO" sheetId="7" r:id="rId2"/>
    <sheet name="PORTFOLIO DATA" sheetId="9" r:id="rId3"/>
    <sheet name="sp500" sheetId="3" r:id="rId4"/>
    <sheet name="PRICE SP500" sheetId="8" r:id="rId5"/>
    <sheet name="PRICE DATA" sheetId="6" r:id="rId6"/>
    <sheet name="FINANCIALS" sheetId="2" r:id="rId7"/>
    <sheet name="BALANCE SHEET" sheetId="4" r:id="rId8"/>
  </sheets>
  <definedNames>
    <definedName name="_xleta.PRICE" hidden="1" xlm="1">#NAME?</definedName>
    <definedName name="ExternalData_1" localSheetId="7">'BALANCE SHEET'!$A$1:$F$69</definedName>
    <definedName name="ExternalData_1" localSheetId="6">FINANCIALS!$A$1:$F$40</definedName>
    <definedName name="ExternalData_1" localSheetId="5">'PRICE DATA'!$G$1:$N$505</definedName>
    <definedName name="ExternalData_1" localSheetId="4">'PRICE SP500'!$A$1:$I$1</definedName>
    <definedName name="ExternalData_1" localSheetId="3" hidden="1">'sp500'!$A$1:$C$504</definedName>
    <definedName name="ExternalData_10" localSheetId="7">'BALANCE SHEET'!$A$1:$F$89</definedName>
    <definedName name="ExternalData_10" localSheetId="6">FINANCIALS!$A$1:$E$55</definedName>
    <definedName name="ExternalData_10" localSheetId="2">'PORTFOLIO DATA'!$A$1:$I$252</definedName>
    <definedName name="ExternalData_10" localSheetId="5">'PRICE DATA'!$G$1:$N$505</definedName>
    <definedName name="ExternalData_10" localSheetId="4">'PRICE SP500'!$A$1:$H$1</definedName>
    <definedName name="ExternalData_100" localSheetId="5">'PRICE DATA'!$A$1:$H$253</definedName>
    <definedName name="ExternalData_101" localSheetId="5">'PRICE DATA'!$A$1:$H$253</definedName>
    <definedName name="ExternalData_102" localSheetId="5">'PRICE DATA'!$A$1:$H$254</definedName>
    <definedName name="ExternalData_103" localSheetId="5">'PRICE DATA'!$A$1:$H$254</definedName>
    <definedName name="ExternalData_104" localSheetId="5">'PRICE DATA'!$A$1:$H$2518</definedName>
    <definedName name="ExternalData_105" localSheetId="5">'PRICE DATA'!$A$1:$H$22</definedName>
    <definedName name="ExternalData_106" localSheetId="5">'PRICE DATA'!$A$1:$H$22</definedName>
    <definedName name="ExternalData_107" localSheetId="5">'PRICE DATA'!$A$1:$H$22</definedName>
    <definedName name="ExternalData_108" localSheetId="5">'PRICE DATA'!$A$1:$H$22</definedName>
    <definedName name="ExternalData_109" localSheetId="5">'PRICE DATA'!$A$1:$H$22</definedName>
    <definedName name="ExternalData_11" localSheetId="7">'BALANCE SHEET'!$A$1:$F$89</definedName>
    <definedName name="ExternalData_11" localSheetId="6">FINANCIALS!$A$1:$E$55</definedName>
    <definedName name="ExternalData_11" localSheetId="2">'PORTFOLIO DATA'!$A$1:$I$252</definedName>
    <definedName name="ExternalData_11" localSheetId="4">'PRICE SP500'!$A$1:$H$1</definedName>
    <definedName name="ExternalData_110" localSheetId="5">'PRICE DATA'!$A$1:$H$22</definedName>
    <definedName name="ExternalData_111" localSheetId="5">'PRICE DATA'!$A$1:$H$22</definedName>
    <definedName name="ExternalData_112" localSheetId="5">'PRICE DATA'!$A$1:$H$22</definedName>
    <definedName name="ExternalData_113" localSheetId="5">'PRICE DATA'!$A$1:$H$22</definedName>
    <definedName name="ExternalData_114" localSheetId="5">'PRICE DATA'!$A$1:$H$22</definedName>
    <definedName name="ExternalData_115" localSheetId="5">'PRICE DATA'!$A$1:$H$22</definedName>
    <definedName name="ExternalData_116" localSheetId="5">'PRICE DATA'!$A$1:$H$22</definedName>
    <definedName name="ExternalData_117" localSheetId="5">'PRICE DATA'!$A$1:$I$1</definedName>
    <definedName name="ExternalData_118" localSheetId="5">'PRICE DATA'!$A$1:$I$252</definedName>
    <definedName name="ExternalData_119" localSheetId="5">'PRICE DATA'!$A$1:$I$1</definedName>
    <definedName name="ExternalData_12" localSheetId="7">'BALANCE SHEET'!$A$1:$F$69</definedName>
    <definedName name="ExternalData_12" localSheetId="6">FINANCIALS!$A$1:$E$55</definedName>
    <definedName name="ExternalData_12" localSheetId="2">'PORTFOLIO DATA'!$A$1:$I$252</definedName>
    <definedName name="ExternalData_12" localSheetId="4">'PRICE SP500'!$A$1:$H$1</definedName>
    <definedName name="ExternalData_120" localSheetId="5">'PRICE DATA'!$A$1:$I$252</definedName>
    <definedName name="ExternalData_121" localSheetId="5">'PRICE DATA'!$A$1:$I$1</definedName>
    <definedName name="ExternalData_122" localSheetId="5">'PRICE DATA'!$A$1:$I$5</definedName>
    <definedName name="ExternalData_123" localSheetId="5">'PRICE DATA'!$A$1:$H$1</definedName>
    <definedName name="ExternalData_124" localSheetId="5">'PRICE DATA'!$A$1:$H$1</definedName>
    <definedName name="ExternalData_125" localSheetId="5">'PRICE DATA'!$A$1:$H$1</definedName>
    <definedName name="ExternalData_126" localSheetId="5">'PRICE DATA'!$A$1:$H$1</definedName>
    <definedName name="ExternalData_127" localSheetId="5">'PRICE DATA'!$A$1:$H$1</definedName>
    <definedName name="ExternalData_128" localSheetId="5">'PRICE DATA'!$A$1:$H$1</definedName>
    <definedName name="ExternalData_129" localSheetId="5">'PRICE DATA'!$A$1:$H$1</definedName>
    <definedName name="ExternalData_13" localSheetId="7">'BALANCE SHEET'!$A$1:$F$69</definedName>
    <definedName name="ExternalData_13" localSheetId="6">FINANCIALS!$A$1:$F$40</definedName>
    <definedName name="ExternalData_13" localSheetId="2">'PORTFOLIO DATA'!$A$1:$I$252</definedName>
    <definedName name="ExternalData_13" localSheetId="5">'PRICE DATA'!$G$1:$N$505</definedName>
    <definedName name="ExternalData_13" localSheetId="4">'PRICE SP500'!$A$1:$H$1</definedName>
    <definedName name="ExternalData_130" localSheetId="5">'PRICE DATA'!$A$1:$I$252</definedName>
    <definedName name="ExternalData_131" localSheetId="5">'PRICE DATA'!$A$1:$I$503</definedName>
    <definedName name="ExternalData_132" localSheetId="5">'PRICE DATA'!$A$1:$I$503</definedName>
    <definedName name="ExternalData_133" localSheetId="5">'PRICE DATA'!$A$1:$I$252</definedName>
    <definedName name="ExternalData_134" localSheetId="5">'PRICE DATA'!$A$1:$I$252</definedName>
    <definedName name="ExternalData_135" localSheetId="5">'PRICE DATA'!$A$1:$I$252</definedName>
    <definedName name="ExternalData_136" localSheetId="5">'PRICE DATA'!$A$1:$I$21</definedName>
    <definedName name="ExternalData_137" localSheetId="5">'PRICE DATA'!$A$1:$I$21</definedName>
    <definedName name="ExternalData_138" localSheetId="5">'PRICE DATA'!$A$1:$I$252</definedName>
    <definedName name="ExternalData_139" localSheetId="5">'PRICE DATA'!$A$1:$I$252</definedName>
    <definedName name="ExternalData_14" localSheetId="7">'BALANCE SHEET'!$A$1:$F$73</definedName>
    <definedName name="ExternalData_14" localSheetId="6">FINANCIALS!$A$1:$F$40</definedName>
    <definedName name="ExternalData_14" localSheetId="2">'PORTFOLIO DATA'!$A$1:$I$252</definedName>
    <definedName name="ExternalData_14" localSheetId="4">'PRICE SP500'!$A$1:$I$252</definedName>
    <definedName name="ExternalData_140" localSheetId="5">'PRICE DATA'!$A$1:$H$1</definedName>
    <definedName name="ExternalData_141" localSheetId="5">'PRICE DATA'!$A$1:$I$252</definedName>
    <definedName name="ExternalData_142" localSheetId="5">'PRICE DATA'!$A$1:$I$252</definedName>
    <definedName name="ExternalData_143" localSheetId="5">'PRICE DATA'!$A$1:$I$252</definedName>
    <definedName name="ExternalData_144" localSheetId="5">'PRICE DATA'!$A$1:$I$252</definedName>
    <definedName name="ExternalData_15" localSheetId="7">'BALANCE SHEET'!$A$1:$F$82</definedName>
    <definedName name="ExternalData_15" localSheetId="6">FINANCIALS!$A$1:$F$52</definedName>
    <definedName name="ExternalData_15" localSheetId="2">'PORTFOLIO DATA'!$A$1:$I$252</definedName>
    <definedName name="ExternalData_15" localSheetId="5">'PRICE DATA'!$G$1:$N$505</definedName>
    <definedName name="ExternalData_15" localSheetId="4">'PRICE SP500'!$A$1:$I$503</definedName>
    <definedName name="ExternalData_16" localSheetId="7">'BALANCE SHEET'!$A$1:$F$82</definedName>
    <definedName name="ExternalData_16" localSheetId="6">FINANCIALS!$A$1:$F$60</definedName>
    <definedName name="ExternalData_16" localSheetId="2">'PORTFOLIO DATA'!$A$1:$I$252</definedName>
    <definedName name="ExternalData_16" localSheetId="4">'PRICE SP500'!$A$1:$I$503</definedName>
    <definedName name="ExternalData_17" localSheetId="7">'BALANCE SHEET'!$A$1:$F$91</definedName>
    <definedName name="ExternalData_17" localSheetId="6">FINANCIALS!$A$1:$F$60</definedName>
    <definedName name="ExternalData_17" localSheetId="2">'PORTFOLIO DATA'!$A$1:$I$252</definedName>
    <definedName name="ExternalData_17" localSheetId="4">'PRICE SP500'!$A$1:$I$252</definedName>
    <definedName name="ExternalData_18" localSheetId="7">'BALANCE SHEET'!$A$1:$F$85</definedName>
    <definedName name="ExternalData_18" localSheetId="6">FINANCIALS!$A$1:$F$45</definedName>
    <definedName name="ExternalData_18" localSheetId="2">'PORTFOLIO DATA'!$A$1:$I$252</definedName>
    <definedName name="ExternalData_18" localSheetId="5">'PRICE DATA'!$G$1:$N$505</definedName>
    <definedName name="ExternalData_18" localSheetId="4">'PRICE SP500'!$A$1:$I$252</definedName>
    <definedName name="ExternalData_19" localSheetId="7">'BALANCE SHEET'!$A$1:$E$60</definedName>
    <definedName name="ExternalData_19" localSheetId="6">FINANCIALS!$A$1:$F$49</definedName>
    <definedName name="ExternalData_19" localSheetId="2">'PORTFOLIO DATA'!$A$1:$I$252</definedName>
    <definedName name="ExternalData_19" localSheetId="5">'PRICE DATA'!$G$1:$N$505</definedName>
    <definedName name="ExternalData_19" localSheetId="4">'PRICE SP500'!$A$1:$I$252</definedName>
    <definedName name="ExternalData_2" localSheetId="7">'BALANCE SHEET'!$A$1:$F$74</definedName>
    <definedName name="ExternalData_2" localSheetId="6">FINANCIALS!$A$1:$F$40</definedName>
    <definedName name="ExternalData_2" localSheetId="2">'PORTFOLIO DATA'!$A$1:$I$252</definedName>
    <definedName name="ExternalData_2" localSheetId="5">'PRICE DATA'!$G$1:$N$505</definedName>
    <definedName name="ExternalData_2" localSheetId="4">'PRICE SP500'!$A$1:$I$252</definedName>
    <definedName name="ExternalData_20" localSheetId="7">'BALANCE SHEET'!$A$1:$E$60</definedName>
    <definedName name="ExternalData_20" localSheetId="6">FINANCIALS!$A$1:$F$40</definedName>
    <definedName name="ExternalData_20" localSheetId="2">'PORTFOLIO DATA'!$A$1:$I$252</definedName>
    <definedName name="ExternalData_20" localSheetId="4">'PRICE SP500'!$A$1:$I$21</definedName>
    <definedName name="ExternalData_21" localSheetId="7">'BALANCE SHEET'!$A$1:$E$60</definedName>
    <definedName name="ExternalData_21" localSheetId="6">FINANCIALS!$A$1:$F$40</definedName>
    <definedName name="ExternalData_21" localSheetId="2">'PORTFOLIO DATA'!$A$1:$I$252</definedName>
    <definedName name="ExternalData_21" localSheetId="4">'PRICE SP500'!$A$1:$I$21</definedName>
    <definedName name="ExternalData_22" localSheetId="7">'BALANCE SHEET'!$A$1:$E$60</definedName>
    <definedName name="ExternalData_22" localSheetId="6">FINANCIALS!$A$1:$F$40</definedName>
    <definedName name="ExternalData_22" localSheetId="2">'PORTFOLIO DATA'!$A$1:$I$252</definedName>
    <definedName name="ExternalData_22" localSheetId="5">'PRICE DATA'!$G$1:$N$505</definedName>
    <definedName name="ExternalData_22" localSheetId="4">'PRICE SP500'!$A$1:$I$252</definedName>
    <definedName name="ExternalData_23" localSheetId="7">'BALANCE SHEET'!$A$1:$E$60</definedName>
    <definedName name="ExternalData_23" localSheetId="6">FINANCIALS!$A$1:$E$40</definedName>
    <definedName name="ExternalData_23" localSheetId="2">'PORTFOLIO DATA'!$A$1:$I$252</definedName>
    <definedName name="ExternalData_23" localSheetId="4">'PRICE SP500'!$A$1:$I$252</definedName>
    <definedName name="ExternalData_24" localSheetId="7">'BALANCE SHEET'!$A$1:$E$60</definedName>
    <definedName name="ExternalData_24" localSheetId="6">FINANCIALS!$A$1:$E$40</definedName>
    <definedName name="ExternalData_24" localSheetId="2">'PORTFOLIO DATA'!$A$1:$I$252</definedName>
    <definedName name="ExternalData_24" localSheetId="5">'PRICE DATA'!$G$1:$N$505</definedName>
    <definedName name="ExternalData_24" localSheetId="4">'PRICE SP500'!$A$1:$H$1</definedName>
    <definedName name="ExternalData_25" localSheetId="7">'BALANCE SHEET'!$A$1:$E$60</definedName>
    <definedName name="ExternalData_25" localSheetId="6">FINANCIALS!$A$1:$E$40</definedName>
    <definedName name="ExternalData_25" localSheetId="2">'PORTFOLIO DATA'!$A$1:$I$252</definedName>
    <definedName name="ExternalData_25" localSheetId="4">'PRICE SP500'!$A$1:$I$252</definedName>
    <definedName name="ExternalData_26" localSheetId="7">'BALANCE SHEET'!$A$1:$E$60</definedName>
    <definedName name="ExternalData_26" localSheetId="6">FINANCIALS!$A$1:$E$40</definedName>
    <definedName name="ExternalData_26" localSheetId="2">'PORTFOLIO DATA'!$A$1:$I$252</definedName>
    <definedName name="ExternalData_26" localSheetId="5">'PRICE DATA'!$G$1:$N$505</definedName>
    <definedName name="ExternalData_26" localSheetId="4">'PRICE SP500'!$A$1:$I$252</definedName>
    <definedName name="ExternalData_27" localSheetId="7">'BALANCE SHEET'!$A$1:$E$60</definedName>
    <definedName name="ExternalData_27" localSheetId="6">FINANCIALS!$A$1:$E$40</definedName>
    <definedName name="ExternalData_27" localSheetId="2">'PORTFOLIO DATA'!$A$1:$I$252</definedName>
    <definedName name="ExternalData_27" localSheetId="4">'PRICE SP500'!$A$1:$I$252</definedName>
    <definedName name="ExternalData_28" localSheetId="7">'BALANCE SHEET'!$A$1:$E$60</definedName>
    <definedName name="ExternalData_28" localSheetId="6">FINANCIALS!$A$1:$E$40</definedName>
    <definedName name="ExternalData_28" localSheetId="2">'PORTFOLIO DATA'!$A$1:$I$252</definedName>
    <definedName name="ExternalData_28" localSheetId="5">'PRICE DATA'!$G$1:$N$505</definedName>
    <definedName name="ExternalData_28" localSheetId="4">'PRICE SP500'!$A$1:$I$252</definedName>
    <definedName name="ExternalData_29" localSheetId="7">'BALANCE SHEET'!$A$1:$E$60</definedName>
    <definedName name="ExternalData_29" localSheetId="6">FINANCIALS!$A$1:$E$40</definedName>
    <definedName name="ExternalData_29" localSheetId="2">'PORTFOLIO DATA'!$A$1:$I$252</definedName>
    <definedName name="ExternalData_29" localSheetId="4">'PRICE SP500'!$A$1:$I$252</definedName>
    <definedName name="ExternalData_3" localSheetId="7">'BALANCE SHEET'!$A$1:$F$74</definedName>
    <definedName name="ExternalData_3" localSheetId="6">FINANCIALS!$A$1:$E$48</definedName>
    <definedName name="ExternalData_3" localSheetId="2">'PORTFOLIO DATA'!$A$1:$I$252</definedName>
    <definedName name="ExternalData_3" localSheetId="5">'PRICE DATA'!$G$1:$N$505</definedName>
    <definedName name="ExternalData_3" localSheetId="4">'PRICE SP500'!$A$1:$I$1</definedName>
    <definedName name="ExternalData_30" localSheetId="7">'BALANCE SHEET'!$A$1:$E$60</definedName>
    <definedName name="ExternalData_30" localSheetId="6">FINANCIALS!$A$1:$E$40</definedName>
    <definedName name="ExternalData_30" localSheetId="2">'PORTFOLIO DATA'!$A$1:$I$252</definedName>
    <definedName name="ExternalData_30" localSheetId="5">'PRICE DATA'!$G$1:$N$505</definedName>
    <definedName name="ExternalData_30" localSheetId="4">'PRICE SP500'!$A$1:$I$252</definedName>
    <definedName name="ExternalData_31" localSheetId="7">'BALANCE SHEET'!$A$1:$E$60</definedName>
    <definedName name="ExternalData_31" localSheetId="6">FINANCIALS!$A$1:$E$40</definedName>
    <definedName name="ExternalData_31" localSheetId="2">'PORTFOLIO DATA'!$A$1:$I$252</definedName>
    <definedName name="ExternalData_31" localSheetId="5">'PRICE DATA'!$G$1:$N$505</definedName>
    <definedName name="ExternalData_31" localSheetId="4">'PRICE SP500'!$A$1:$I$252</definedName>
    <definedName name="ExternalData_32" localSheetId="7">'BALANCE SHEET'!$A$1:$E$60</definedName>
    <definedName name="ExternalData_32" localSheetId="6">FINANCIALS!$A$1:$E$40</definedName>
    <definedName name="ExternalData_32" localSheetId="2">'PORTFOLIO DATA'!$A$1:$I$252</definedName>
    <definedName name="ExternalData_32" localSheetId="4">'PRICE SP500'!$A$1:$I$252</definedName>
    <definedName name="ExternalData_33" localSheetId="7">'BALANCE SHEET'!$A$1:$E$60</definedName>
    <definedName name="ExternalData_33" localSheetId="6">FINANCIALS!$A$1:$E$40</definedName>
    <definedName name="ExternalData_33" localSheetId="2">'PORTFOLIO DATA'!$A$1:$I$252</definedName>
    <definedName name="ExternalData_33" localSheetId="4">'PRICE SP500'!$A$1:$I$252</definedName>
    <definedName name="ExternalData_34" localSheetId="7">'BALANCE SHEET'!$A$1:$E$60</definedName>
    <definedName name="ExternalData_34" localSheetId="6">FINANCIALS!$A$1:$E$40</definedName>
    <definedName name="ExternalData_34" localSheetId="2">'PORTFOLIO DATA'!$A$1:$I$252</definedName>
    <definedName name="ExternalData_34" localSheetId="4">'PRICE SP500'!$A$1:$I$252</definedName>
    <definedName name="ExternalData_35" localSheetId="7">'BALANCE SHEET'!$A$1:$E$60</definedName>
    <definedName name="ExternalData_35" localSheetId="6">FINANCIALS!$A$1:$E$40</definedName>
    <definedName name="ExternalData_35" localSheetId="2">'PORTFOLIO DATA'!$A$1:$I$252</definedName>
    <definedName name="ExternalData_35" localSheetId="4">'PRICE SP500'!$A$1:$I$252</definedName>
    <definedName name="ExternalData_36" localSheetId="7">'BALANCE SHEET'!$A$1:$E$60</definedName>
    <definedName name="ExternalData_36" localSheetId="6">FINANCIALS!$A$1:$E$40</definedName>
    <definedName name="ExternalData_36" localSheetId="2">'PORTFOLIO DATA'!$A$1:$I$252</definedName>
    <definedName name="ExternalData_36" localSheetId="4">'PRICE SP500'!$A$1:$I$252</definedName>
    <definedName name="ExternalData_37" localSheetId="7">'BALANCE SHEET'!$A$1:$E$60</definedName>
    <definedName name="ExternalData_37" localSheetId="6">FINANCIALS!$A$1:$E$40</definedName>
    <definedName name="ExternalData_37" localSheetId="2">'PORTFOLIO DATA'!$A$1:$I$252</definedName>
    <definedName name="ExternalData_37" localSheetId="4">'PRICE SP500'!$A$1:$I$252</definedName>
    <definedName name="ExternalData_38" localSheetId="7">'BALANCE SHEET'!$A$1:$E$60</definedName>
    <definedName name="ExternalData_38" localSheetId="6">FINANCIALS!$A$1:$E$40</definedName>
    <definedName name="ExternalData_38" localSheetId="2">'PORTFOLIO DATA'!$A$1:$I$252</definedName>
    <definedName name="ExternalData_38" localSheetId="4">'PRICE SP500'!$A$1:$I$252</definedName>
    <definedName name="ExternalData_39" localSheetId="7">'BALANCE SHEET'!$A$1:$E$60</definedName>
    <definedName name="ExternalData_39" localSheetId="6">FINANCIALS!$A$1:$E$40</definedName>
    <definedName name="ExternalData_39" localSheetId="2">'PORTFOLIO DATA'!$A$1:$I$252</definedName>
    <definedName name="ExternalData_39" localSheetId="4">'PRICE SP500'!$A$1:$I$252</definedName>
    <definedName name="ExternalData_4" localSheetId="7">'BALANCE SHEET'!$A$1:$F$74</definedName>
    <definedName name="ExternalData_4" localSheetId="6">FINANCIALS!$A$1:$E$48</definedName>
    <definedName name="ExternalData_4" localSheetId="2">'PORTFOLIO DATA'!$A$1:$I$252</definedName>
    <definedName name="ExternalData_4" localSheetId="5">'PRICE DATA'!$G$1:$N$505</definedName>
    <definedName name="ExternalData_4" localSheetId="4">'PRICE SP500'!$A$1:$I$252</definedName>
    <definedName name="ExternalData_40" localSheetId="7">'BALANCE SHEET'!$A$1</definedName>
    <definedName name="ExternalData_40" localSheetId="6">FINANCIALS!$A$1:$E$40</definedName>
    <definedName name="ExternalData_40" localSheetId="2">'PORTFOLIO DATA'!$A$1:$I$252</definedName>
    <definedName name="ExternalData_40" localSheetId="4">'PRICE SP500'!$A$1:$I$252</definedName>
    <definedName name="ExternalData_41" localSheetId="7">'BALANCE SHEET'!$A$1</definedName>
    <definedName name="ExternalData_41" localSheetId="6">FINANCIALS!$A$1</definedName>
    <definedName name="ExternalData_41" localSheetId="2">'PORTFOLIO DATA'!$A$1:$I$252</definedName>
    <definedName name="ExternalData_41" localSheetId="4">'PRICE SP500'!$A$1:$I$252</definedName>
    <definedName name="ExternalData_42" localSheetId="7">'BALANCE SHEET'!$A$1</definedName>
    <definedName name="ExternalData_42" localSheetId="6">FINANCIALS!$A$1</definedName>
    <definedName name="ExternalData_42" localSheetId="2">'PORTFOLIO DATA'!$A$1:$I$252</definedName>
    <definedName name="ExternalData_42" localSheetId="4">'PRICE SP500'!$A$1:$I$252</definedName>
    <definedName name="ExternalData_43" localSheetId="7">'BALANCE SHEET'!$A$1</definedName>
    <definedName name="ExternalData_43" localSheetId="6">FINANCIALS!$A$1</definedName>
    <definedName name="ExternalData_43" localSheetId="4">'PRICE SP500'!$A$1:$I$252</definedName>
    <definedName name="ExternalData_44" localSheetId="7">'BALANCE SHEET'!$A$1</definedName>
    <definedName name="ExternalData_44" localSheetId="6">FINANCIALS!$A$1</definedName>
    <definedName name="ExternalData_44" localSheetId="4">'PRICE SP500'!$A$1:$I$252</definedName>
    <definedName name="ExternalData_45" localSheetId="7">'BALANCE SHEET'!$A$1</definedName>
    <definedName name="ExternalData_45" localSheetId="6">FINANCIALS!$A$1</definedName>
    <definedName name="ExternalData_45" localSheetId="2">'PORTFOLIO DATA'!$A$1:$I$252</definedName>
    <definedName name="ExternalData_45" localSheetId="5">'PRICE DATA'!$G$1:$N$505</definedName>
    <definedName name="ExternalData_45" localSheetId="4">'PRICE SP500'!$A$1:$I$252</definedName>
    <definedName name="ExternalData_46" localSheetId="7">'BALANCE SHEET'!$A$1</definedName>
    <definedName name="ExternalData_46" localSheetId="6">FINANCIALS!$A$1</definedName>
    <definedName name="ExternalData_46" localSheetId="2">'PORTFOLIO DATA'!$A$1:$I$252</definedName>
    <definedName name="ExternalData_46" localSheetId="4">'PRICE SP500'!$A$1:$I$252</definedName>
    <definedName name="ExternalData_47" localSheetId="7">'BALANCE SHEET'!$A$1:$E$60</definedName>
    <definedName name="ExternalData_47" localSheetId="6">FINANCIALS!$A$1</definedName>
    <definedName name="ExternalData_47" localSheetId="2">'PORTFOLIO DATA'!$A$1:$I$252</definedName>
    <definedName name="ExternalData_47" localSheetId="4">'PRICE SP500'!$A$1:$I$252</definedName>
    <definedName name="ExternalData_48" localSheetId="7">'BALANCE SHEET'!$A$1:$E$75</definedName>
    <definedName name="ExternalData_48" localSheetId="6">FINANCIALS!$A$1:$E$40</definedName>
    <definedName name="ExternalData_48" localSheetId="2">'PORTFOLIO DATA'!$A$1:$I$252</definedName>
    <definedName name="ExternalData_48" localSheetId="4">'PRICE SP500'!$A$1:$I$252</definedName>
    <definedName name="ExternalData_49" localSheetId="7">'BALANCE SHEET'!$A$1:$E$60</definedName>
    <definedName name="ExternalData_49" localSheetId="6">FINANCIALS!$A$1:$E$48</definedName>
    <definedName name="ExternalData_49" localSheetId="2">'PORTFOLIO DATA'!$A$1:$I$252</definedName>
    <definedName name="ExternalData_49" localSheetId="4">'PRICE SP500'!$A$1:$I$252</definedName>
    <definedName name="ExternalData_5" localSheetId="7">'BALANCE SHEET'!$A$1:$F$74</definedName>
    <definedName name="ExternalData_5" localSheetId="6">FINANCIALS!$A$1:$E$48</definedName>
    <definedName name="ExternalData_5" localSheetId="2">'PORTFOLIO DATA'!$A$1:$I$252</definedName>
    <definedName name="ExternalData_5" localSheetId="4">'PRICE SP500'!$A$1:$I$1</definedName>
    <definedName name="ExternalData_50" localSheetId="7">'BALANCE SHEET'!$A$1:$E$60</definedName>
    <definedName name="ExternalData_50" localSheetId="6">FINANCIALS!$A$1:$E$40</definedName>
    <definedName name="ExternalData_50" localSheetId="2">'PORTFOLIO DATA'!$A$1:$I$252</definedName>
    <definedName name="ExternalData_50" localSheetId="4">'PRICE SP500'!$A$1:$I$252</definedName>
    <definedName name="ExternalData_51" localSheetId="7">'BALANCE SHEET'!$A$1:$E$60</definedName>
    <definedName name="ExternalData_51" localSheetId="6">FINANCIALS!$A$1:$E$40</definedName>
    <definedName name="ExternalData_51" localSheetId="2">'PORTFOLIO DATA'!$A$1:$I$252</definedName>
    <definedName name="ExternalData_51" localSheetId="4">'PRICE SP500'!$A$1:$I$252</definedName>
    <definedName name="ExternalData_52" localSheetId="7">'BALANCE SHEET'!$A$1:$E$60</definedName>
    <definedName name="ExternalData_52" localSheetId="6">FINANCIALS!$A$1:$E$40</definedName>
    <definedName name="ExternalData_52" localSheetId="2">'PORTFOLIO DATA'!$A$1:$I$252</definedName>
    <definedName name="ExternalData_52" localSheetId="4">'PRICE SP500'!$A$1:$I$252</definedName>
    <definedName name="ExternalData_53" localSheetId="7">'BALANCE SHEET'!$A$1:$E$60</definedName>
    <definedName name="ExternalData_53" localSheetId="6">FINANCIALS!$A$1:$E$40</definedName>
    <definedName name="ExternalData_53" localSheetId="2">'PORTFOLIO DATA'!$A$1:$I$252</definedName>
    <definedName name="ExternalData_53" localSheetId="5">'PRICE DATA'!$G$1:$G$505</definedName>
    <definedName name="ExternalData_53" localSheetId="4">'PRICE SP500'!$A$1:$I$252</definedName>
    <definedName name="ExternalData_54" localSheetId="7">'BALANCE SHEET'!$A$1:$E$60</definedName>
    <definedName name="ExternalData_54" localSheetId="6">FINANCIALS!$A$1:$E$40</definedName>
    <definedName name="ExternalData_54" localSheetId="2">'PORTFOLIO DATA'!$A$1:$I$252</definedName>
    <definedName name="ExternalData_54" localSheetId="4">'PRICE SP500'!$A$1:$I$252</definedName>
    <definedName name="ExternalData_55" localSheetId="7">'BALANCE SHEET'!$A$1:$E$60</definedName>
    <definedName name="ExternalData_55" localSheetId="6">FINANCIALS!$A$1:$E$40</definedName>
    <definedName name="ExternalData_55" localSheetId="2">'PORTFOLIO DATA'!$A$1:$I$252</definedName>
    <definedName name="ExternalData_55" localSheetId="4">'PRICE SP500'!$A$1:$I$252</definedName>
    <definedName name="ExternalData_56" localSheetId="7">'BALANCE SHEET'!$A$1:$E$60</definedName>
    <definedName name="ExternalData_56" localSheetId="6">FINANCIALS!$A$1:$E$40</definedName>
    <definedName name="ExternalData_56" localSheetId="2">'PORTFOLIO DATA'!$A$1:$I$252</definedName>
    <definedName name="ExternalData_56" localSheetId="5">'PRICE DATA'!$G$1:$N$505</definedName>
    <definedName name="ExternalData_56" localSheetId="4">'PRICE SP500'!$A$1:$I$252</definedName>
    <definedName name="ExternalData_57" localSheetId="7">'BALANCE SHEET'!$A$1</definedName>
    <definedName name="ExternalData_57" localSheetId="6">FINANCIALS!$A$1:$E$40</definedName>
    <definedName name="ExternalData_57" localSheetId="2">'PORTFOLIO DATA'!$A$1:$I$252</definedName>
    <definedName name="ExternalData_57" localSheetId="5">'PRICE DATA'!$G$1:$N$505</definedName>
    <definedName name="ExternalData_57" localSheetId="4">'PRICE SP500'!$A$1:$I$252</definedName>
    <definedName name="ExternalData_58" localSheetId="7">'BALANCE SHEET'!$A$1:$E$60</definedName>
    <definedName name="ExternalData_58" localSheetId="6">FINANCIALS!$A$1</definedName>
    <definedName name="ExternalData_58" localSheetId="2">'PORTFOLIO DATA'!$A$1:$I$252</definedName>
    <definedName name="ExternalData_58" localSheetId="4">'PRICE SP500'!$A$1:$I$252</definedName>
    <definedName name="ExternalData_59" localSheetId="7">'BALANCE SHEET'!$A$1:$E$60</definedName>
    <definedName name="ExternalData_59" localSheetId="6">FINANCIALS!$A$1:$E$40</definedName>
    <definedName name="ExternalData_59" localSheetId="2">'PORTFOLIO DATA'!$A$1:$I$252</definedName>
    <definedName name="ExternalData_59" localSheetId="4">'PRICE SP500'!$A$1:$I$502</definedName>
    <definedName name="ExternalData_6" localSheetId="7">'BALANCE SHEET'!$A$1:$F$74</definedName>
    <definedName name="ExternalData_6" localSheetId="6">FINANCIALS!$A$1:$E$48</definedName>
    <definedName name="ExternalData_6" localSheetId="2">'PORTFOLIO DATA'!$A$1:$I$252</definedName>
    <definedName name="ExternalData_6" localSheetId="4">'PRICE SP500'!$A$1:$I$5</definedName>
    <definedName name="ExternalData_60" localSheetId="7">'BALANCE SHEET'!$A$1:$E$60</definedName>
    <definedName name="ExternalData_60" localSheetId="6">FINANCIALS!$A$1:$E$40</definedName>
    <definedName name="ExternalData_60" localSheetId="2">'PORTFOLIO DATA'!$A$1:$I$252</definedName>
    <definedName name="ExternalData_60" localSheetId="5">'PRICE DATA'!$G$1:$N$505</definedName>
    <definedName name="ExternalData_60" localSheetId="4">'PRICE SP500'!$A$1:$I$252</definedName>
    <definedName name="ExternalData_61" localSheetId="7">'BALANCE SHEET'!$A$1:$E$60</definedName>
    <definedName name="ExternalData_61" localSheetId="6">FINANCIALS!$A$1:$E$40</definedName>
    <definedName name="ExternalData_61" localSheetId="2">'PORTFOLIO DATA'!$A$1:$I$252</definedName>
    <definedName name="ExternalData_61" localSheetId="4">'PRICE SP500'!$A$1:$I$252</definedName>
    <definedName name="ExternalData_62" localSheetId="6">FINANCIALS!$A$1:$E$40</definedName>
    <definedName name="ExternalData_62" localSheetId="2">'PORTFOLIO DATA'!$A$1:$I$252</definedName>
    <definedName name="ExternalData_62" localSheetId="4">'PRICE SP500'!$A$1:$I$252</definedName>
    <definedName name="ExternalData_63" localSheetId="2">'PORTFOLIO DATA'!$A$1:$I$252</definedName>
    <definedName name="ExternalData_64" localSheetId="2">'PORTFOLIO DATA'!$A$1:$I$252</definedName>
    <definedName name="ExternalData_64" localSheetId="5">'PRICE DATA'!$G$1:$N$505</definedName>
    <definedName name="ExternalData_65" localSheetId="2">'PORTFOLIO DATA'!$A$1:$I$252</definedName>
    <definedName name="ExternalData_66" localSheetId="2">'PORTFOLIO DATA'!$A$1:$I$252</definedName>
    <definedName name="ExternalData_66" localSheetId="5">'PRICE DATA'!$G$1:$N$505</definedName>
    <definedName name="ExternalData_67" localSheetId="2">'PORTFOLIO DATA'!$A$1:$I$252</definedName>
    <definedName name="ExternalData_67" localSheetId="5">'PRICE DATA'!$G$1:$N$505</definedName>
    <definedName name="ExternalData_68" localSheetId="2">'PORTFOLIO DATA'!$A$1:$I$252</definedName>
    <definedName name="ExternalData_69" localSheetId="2">'PORTFOLIO DATA'!$A$1:$I$252</definedName>
    <definedName name="ExternalData_69" localSheetId="5">'PRICE DATA'!$G$1:$N$505</definedName>
    <definedName name="ExternalData_7" localSheetId="7">'BALANCE SHEET'!$A$1:$F$74</definedName>
    <definedName name="ExternalData_7" localSheetId="6">FINANCIALS!$A$1:$E$48</definedName>
    <definedName name="ExternalData_7" localSheetId="2">'PORTFOLIO DATA'!$A$1:$I$252</definedName>
    <definedName name="ExternalData_7" localSheetId="4">'PRICE SP500'!$A$1:$H$1</definedName>
    <definedName name="ExternalData_70" localSheetId="2">'PORTFOLIO DATA'!$A$1:$I$252</definedName>
    <definedName name="ExternalData_71" localSheetId="2">'PORTFOLIO DATA'!$A$1:$I$252</definedName>
    <definedName name="ExternalData_72" localSheetId="2">'PORTFOLIO DATA'!$A$1:$I$252</definedName>
    <definedName name="ExternalData_72" localSheetId="5">'PRICE DATA'!$G$1:$N$505</definedName>
    <definedName name="ExternalData_73" localSheetId="2">'PORTFOLIO DATA'!$A$1:$I$252</definedName>
    <definedName name="ExternalData_74" localSheetId="2">'PORTFOLIO DATA'!$A$1:$I$252</definedName>
    <definedName name="ExternalData_74" localSheetId="5">'PRICE DATA'!$G$1:$N$505</definedName>
    <definedName name="ExternalData_75" localSheetId="2">'PORTFOLIO DATA'!$A$1:$I$502</definedName>
    <definedName name="ExternalData_75" localSheetId="5">'PRICE DATA'!$G$1:$L$40</definedName>
    <definedName name="ExternalData_76" localSheetId="2">'PORTFOLIO DATA'!$A$1:$I$252</definedName>
    <definedName name="ExternalData_76" localSheetId="5">'PRICE DATA'!$A$1:$F$40</definedName>
    <definedName name="ExternalData_77" localSheetId="2">'PORTFOLIO DATA'!$A$1:$I$252</definedName>
    <definedName name="ExternalData_77" localSheetId="5">'PRICE DATA'!$A$1:$F$40</definedName>
    <definedName name="ExternalData_78" localSheetId="2">'PORTFOLIO DATA'!$A$1:$I$252</definedName>
    <definedName name="ExternalData_78" localSheetId="5">'PRICE DATA'!$A$1:$F$40</definedName>
    <definedName name="ExternalData_8" localSheetId="7">'BALANCE SHEET'!$A$1:$F$89</definedName>
    <definedName name="ExternalData_8" localSheetId="6">FINANCIALS!$A$1:$E$48</definedName>
    <definedName name="ExternalData_8" localSheetId="2">'PORTFOLIO DATA'!$A$1:$I$252</definedName>
    <definedName name="ExternalData_8" localSheetId="4">'PRICE SP500'!$A$1:$H$1</definedName>
    <definedName name="ExternalData_80" localSheetId="5">'PRICE DATA'!$A$1:$F$69</definedName>
    <definedName name="ExternalData_81" localSheetId="5">'PRICE DATA'!$A$1:$F$69</definedName>
    <definedName name="ExternalData_82" localSheetId="5">'PRICE DATA'!$A$1:$H$505</definedName>
    <definedName name="ExternalData_83" localSheetId="5">'PRICE DATA'!$A$1:$H$505</definedName>
    <definedName name="ExternalData_84" localSheetId="5">'PRICE DATA'!$A$1:$H$505</definedName>
    <definedName name="ExternalData_85" localSheetId="5">'PRICE DATA'!$A$1:$H$505</definedName>
    <definedName name="ExternalData_86" localSheetId="5">'PRICE DATA'!$A$1:$H$505</definedName>
    <definedName name="ExternalData_87" localSheetId="5">'PRICE DATA'!$A$1:$H$505</definedName>
    <definedName name="ExternalData_88" localSheetId="5">'PRICE DATA'!$A$1:$H$505</definedName>
    <definedName name="ExternalData_89" localSheetId="5">'PRICE DATA'!$A$1:$H$505</definedName>
    <definedName name="ExternalData_9" localSheetId="7">'BALANCE SHEET'!$A$1:$F$89</definedName>
    <definedName name="ExternalData_9" localSheetId="6">FINANCIALS!$A$1:$E$55</definedName>
    <definedName name="ExternalData_9" localSheetId="2">'PORTFOLIO DATA'!$A$1:$I$252</definedName>
    <definedName name="ExternalData_9" localSheetId="4">'PRICE SP500'!$A$1:$H$1</definedName>
    <definedName name="ExternalData_91" localSheetId="5">'PRICE DATA'!$A$1:$H$253</definedName>
    <definedName name="ExternalData_92" localSheetId="5">'PRICE DATA'!$A$1:$H$253</definedName>
    <definedName name="ExternalData_93" localSheetId="5">'PRICE DATA'!$A$1:$H$253</definedName>
    <definedName name="ExternalData_94" localSheetId="5">'PRICE DATA'!$A$1:$H$253</definedName>
    <definedName name="ExternalData_95" localSheetId="5">'PRICE DATA'!$A$1:$H$253</definedName>
    <definedName name="ExternalData_96" localSheetId="5">'PRICE DATA'!$A$1:$H$253</definedName>
    <definedName name="ExternalData_97" localSheetId="5">'PRICE DATA'!$A$1:$H$253</definedName>
    <definedName name="ExternalData_98" localSheetId="5">'PRICE DATA'!$A$1:$H$253</definedName>
    <definedName name="ExternalData_99" localSheetId="5">'PRICE DATA'!$A$1:$H$253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5" i="1"/>
  <c r="E4" i="1"/>
  <c r="E3" i="1"/>
  <c r="E2" i="1"/>
  <c r="H10" i="7" a="1"/>
  <c r="H10" i="7" s="1"/>
  <c r="H5" i="7"/>
  <c r="K10" i="7"/>
  <c r="H11" i="7" a="1"/>
  <c r="H11" i="7" s="1"/>
  <c r="H7" i="7"/>
  <c r="H6" i="7"/>
  <c r="H4" i="7"/>
  <c r="H3" i="7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2" i="6"/>
  <c r="M6" i="6"/>
  <c r="M5" i="6"/>
  <c r="D11" i="7"/>
  <c r="D4" i="7"/>
  <c r="D5" i="7"/>
  <c r="D6" i="7"/>
  <c r="D7" i="7"/>
  <c r="D8" i="7"/>
  <c r="D9" i="7"/>
  <c r="D10" i="7"/>
  <c r="D3" i="7"/>
  <c r="D2" i="7"/>
  <c r="B3" i="1"/>
  <c r="H8" i="7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BFC47C1-A976-394C-84BD-73137717D23F}" name="balance_sheet" type="6" refreshedVersion="8" background="1">
    <textPr prompt="0" codePage="936" sourceFile="/Users/filippodemin/Documents/DSBA/2nd YEAR/NUMERICAL_FINANCE/balance_sheet.csv" comma="1">
      <textFields>
        <textField/>
      </textFields>
    </textPr>
  </connection>
  <connection id="2" xr16:uid="{D05D023B-DC5F-4545-827B-F178D96F000F}" name="balance_sheet1" type="6" refreshedVersion="8" background="1">
    <textPr prompt="0" codePage="936" sourceFile="/Users/filippodemin/Documents/DSBA/2nd YEAR/NUMERICAL_FINANCE/balance_sheet.csv" comma="1">
      <textFields>
        <textField/>
      </textFields>
    </textPr>
  </connection>
  <connection id="3" xr16:uid="{8DCE2E58-F57D-934D-AE53-B6AB6FBB398F}" name="balance_sheet10" type="6" refreshedVersion="8" background="1">
    <textPr prompt="0" codePage="936" sourceFile="/Users/filippodemin/Documents/DSBA/2nd_YEAR/NUMERICAL_FINANCE/balance_sheet.csv" comma="1">
      <textFields>
        <textField/>
      </textFields>
    </textPr>
  </connection>
  <connection id="4" xr16:uid="{5948AAEA-AD22-0A4D-B261-7D6DD7AF3865}" name="balance_sheet11" type="6" refreshedVersion="8" background="1">
    <textPr prompt="0" codePage="936" sourceFile="/Users/filippodemin/Documents/DSBA/2nd_YEAR/NUMERICAL_FINANCE/balance_sheet.csv" comma="1">
      <textFields>
        <textField/>
      </textFields>
    </textPr>
  </connection>
  <connection id="5" xr16:uid="{A1744D63-98FA-AB47-8C64-33E3A4709AEF}" name="balance_sheet12" type="6" refreshedVersion="8" background="1">
    <textPr prompt="0" codePage="936" sourceFile="/Users/filippodemin/Documents/DSBA/2nd_YEAR/NUMERICAL_FINANCE/balance_sheet.csv" comma="1">
      <textFields>
        <textField/>
      </textFields>
    </textPr>
  </connection>
  <connection id="6" xr16:uid="{F0B70F92-F3C4-4F9B-AC99-C0732748D860}" name="balance_sheet13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7" xr16:uid="{CEABF06A-B868-4CEB-A43E-B67C110AC56B}" name="balance_sheet14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8" xr16:uid="{7CB7C7BC-F4BF-44B8-BE93-D58F5734DC9F}" name="balance_sheet15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9" xr16:uid="{1FF8C50D-5F5F-4F13-A811-DD2968A3E850}" name="balance_sheet16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10" xr16:uid="{4DCCA5CD-2485-4061-B0D7-5BAB4CEA9418}" name="balance_sheet17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11" xr16:uid="{7664CA28-6246-4850-9FA4-0E9B61885CF8}" name="balance_sheet18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12" xr16:uid="{1EF8163E-1F7B-4E16-81CB-1A55DB46B330}" name="balance_sheet19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13" xr16:uid="{72DD89AC-9F30-5C46-BDB5-831DD5B0A59F}" name="balance_sheet2" type="6" refreshedVersion="8" background="1">
    <textPr prompt="0" codePage="936" sourceFile="/Users/filippodemin/Documents/DSBA/2nd YEAR/NUMERICAL_FINANCE/balance_sheet.csv" comma="1">
      <textFields>
        <textField/>
      </textFields>
    </textPr>
  </connection>
  <connection id="14" xr16:uid="{7F046098-3E6F-4470-ADDF-11FE1F83758D}" name="balance_sheet20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15" xr16:uid="{8D24833D-AC09-4413-B150-88E149AE8B14}" name="balance_sheet21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16" xr16:uid="{56051757-6A5F-4FC4-B954-A00D8282D4CE}" name="balance_sheet22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17" xr16:uid="{4E68E9A0-1046-48A9-B967-593E089C169A}" name="balance_sheet23" type="6" refreshedVersion="8" background="1">
    <textPr prompt="0" codePage="936" sourceFile="C:\Users\Fili\Desktop\PROJECT_ANF/balance_sheet.csv" decimal="," thousands="." comma="1">
      <textFields>
        <textField/>
      </textFields>
    </textPr>
  </connection>
  <connection id="18" xr16:uid="{CC4C6708-4B83-4931-846D-D76E5D8DB611}" name="balance_sheet24" type="6" refreshedVersion="8" background="1">
    <textPr prompt="0" codePage="936" sourceFile="C:\Users\Fili\Desktop\PROJECT_ANF/balance_sheet.csv" decimal="," thousands="." comma="1">
      <textFields>
        <textField/>
      </textFields>
    </textPr>
  </connection>
  <connection id="19" xr16:uid="{4464C895-AC41-438E-A77C-0880F209DA48}" name="balance_sheet25" type="6" refreshedVersion="8" background="1">
    <textPr prompt="0" codePage="936" sourceFile="C:\Users\Fili\Desktop\PROJECT_ANF/balance_sheet.csv" decimal="," thousands="." comma="1">
      <textFields>
        <textField/>
      </textFields>
    </textPr>
  </connection>
  <connection id="20" xr16:uid="{1F121F98-DEBE-4639-9B98-6647BE9B2C6C}" name="balance_sheet26" type="6" refreshedVersion="8" background="1">
    <textPr prompt="0" codePage="936" sourceFile="C:\Users\Fili\Desktop\PROJECT_ANF/balance_sheet.csv" decimal="," thousands="." comma="1">
      <textFields>
        <textField/>
      </textFields>
    </textPr>
  </connection>
  <connection id="21" xr16:uid="{C5045285-91D7-4B44-A5DE-6FBDEE2A6AC8}" name="balance_sheet27" type="6" refreshedVersion="8" background="1">
    <textPr prompt="0" codePage="936" sourceFile="C:\Users\Fili\Desktop\PROJECT_ANF/balance_sheet.csv" decimal="," thousands="." comma="1">
      <textFields>
        <textField/>
      </textFields>
    </textPr>
  </connection>
  <connection id="22" xr16:uid="{B1A3BA2B-C70D-4EA9-8622-50434ADDC3B8}" name="balance_sheet28" type="6" refreshedVersion="8" background="1">
    <textPr prompt="0" codePage="936" sourceFile="C:\Users\Fili\Desktop\PROJECT_ANF/balance_sheet.csv" decimal="," thousands="." comma="1">
      <textFields>
        <textField/>
      </textFields>
    </textPr>
  </connection>
  <connection id="23" xr16:uid="{D1290FB9-3263-4067-AD41-0BB81CA9BA19}" name="balance_sheet29" type="6" refreshedVersion="8" background="1">
    <textPr prompt="0" codePage="936" sourceFile="C:\Users\Fili\Desktop\PROJECT_ANF/balance_sheet.csv" decimal="," thousands="." comma="1">
      <textFields>
        <textField/>
      </textFields>
    </textPr>
  </connection>
  <connection id="24" xr16:uid="{6FB6A872-2864-DF4D-9548-4782FDE8AD51}" name="balance_sheet3" type="6" refreshedVersion="8" background="1">
    <textPr prompt="0" codePage="936" sourceFile="/Users/filippodemin/Documents/DSBA/2nd YEAR/NUMERICAL_FINANCE/balance_sheet.csv" comma="1">
      <textFields>
        <textField/>
      </textFields>
    </textPr>
  </connection>
  <connection id="25" xr16:uid="{5F7355DD-CA70-411A-BBB6-A714F9BC4961}" name="balance_sheet30" type="6" refreshedVersion="8" background="1">
    <textPr prompt="0" codePage="936" sourceFile="C:\Users\Fili\Desktop\PROJECT_ANF/balance_sheet.csv" decimal="," thousands="." comma="1">
      <textFields>
        <textField/>
      </textFields>
    </textPr>
  </connection>
  <connection id="26" xr16:uid="{4179885F-200C-4C85-9B45-2C0E787F543D}" name="balance_sheet31" type="6" refreshedVersion="8" background="1">
    <textPr prompt="0" codePage="936" sourceFile="C:\Users\Fili\Desktop\PROJECT_ANF/balance_sheet.csv" decimal="," thousands="." comma="1">
      <textFields>
        <textField/>
      </textFields>
    </textPr>
  </connection>
  <connection id="27" xr16:uid="{A2609AD5-4866-440E-9DE3-6D7E635C3435}" name="balance_sheet32" type="6" refreshedVersion="8" background="1">
    <textPr prompt="0" codePage="936" sourceFile="C:\Users\Fili\Desktop\PROJECT_ANF/balance_sheet.csv" decimal="," thousands="." comma="1">
      <textFields>
        <textField/>
      </textFields>
    </textPr>
  </connection>
  <connection id="28" xr16:uid="{A82A0DAF-BF6A-46DC-91DC-776738E7B3E6}" name="balance_sheet33" type="6" refreshedVersion="8" background="1">
    <textPr prompt="0" codePage="936" sourceFile="C:\Users\Fili\Desktop\PROJECT_ANF/balance_sheet.csv" decimal="," thousands="." comma="1">
      <textFields>
        <textField/>
      </textFields>
    </textPr>
  </connection>
  <connection id="29" xr16:uid="{927E9013-8B0D-4BF2-8442-3BF9DA4E57F2}" name="balance_sheet34" type="6" refreshedVersion="8" background="1">
    <textPr prompt="0" codePage="936" sourceFile="C:\Users\Fili\Desktop\PROJECT_ANF/balance_sheet.csv" decimal="," thousands="." comma="1">
      <textFields>
        <textField/>
      </textFields>
    </textPr>
  </connection>
  <connection id="30" xr16:uid="{97502C19-98FD-4275-8502-C37E67DB70AF}" name="balance_sheet35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31" xr16:uid="{913E624E-A455-4D1A-8325-0923DAD116E2}" name="balance_sheet36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32" xr16:uid="{4D108F05-0AE5-4226-AADB-BFCEAD7C0861}" name="balance_sheet37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33" xr16:uid="{E6DB856E-FF38-4AC4-A70E-13A8F5DDEAC9}" name="balance_sheet38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34" xr16:uid="{0CD93AE1-BA89-413E-9B43-5F34AB2B6DEF}" name="balance_sheet39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35" xr16:uid="{15D07AF8-A67B-C74B-933E-A64FD464EA50}" name="balance_sheet4" type="6" refreshedVersion="8" background="1">
    <textPr prompt="0" codePage="936" sourceFile="/Users/filippodemin/Documents/DSBA/2nd YEAR/NUMERICAL_FINANCE/balance_sheet.csv" comma="1">
      <textFields>
        <textField/>
      </textFields>
    </textPr>
  </connection>
  <connection id="36" xr16:uid="{A146CBF0-D5E1-419B-9B06-89241B260C0E}" name="balance_sheet40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37" xr16:uid="{782EFC94-E88C-4260-82AF-8BB9723C3F99}" name="balance_sheet41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38" xr16:uid="{D2D0E938-C0AC-4514-BE22-4BD83ED7038A}" name="balance_sheet42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39" xr16:uid="{F44B934E-6384-46B0-B391-68B85792CA21}" name="balance_sheet43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40" xr16:uid="{D6F85E39-9F8C-47B5-98C2-4DAEAB9CBE1F}" name="balance_sheet44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41" xr16:uid="{1EDEC0A5-0485-4341-AB8D-2750294A3A34}" name="balance_sheet45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42" xr16:uid="{C923F236-72AF-4748-900F-74DDCA989731}" name="balance_sheet46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43" xr16:uid="{F5D11EDB-163B-4829-8289-41DCC016ED17}" name="balance_sheet47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44" xr16:uid="{140509BA-5D07-4479-9A1C-CE80B4944707}" name="balance_sheet48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45" xr16:uid="{1069C614-0D9A-4ADD-B576-B35014A7924D}" name="balance_sheet49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46" xr16:uid="{93053BAF-D592-C849-91A1-1D4404FECA61}" name="balance_sheet5" type="6" refreshedVersion="8" background="1">
    <textPr prompt="0" codePage="936" sourceFile="/Users/filippodemin/Documents/DSBA/2nd YEAR/NUMERICAL_FINANCE/balance_sheet.csv" comma="1">
      <textFields>
        <textField/>
      </textFields>
    </textPr>
  </connection>
  <connection id="47" xr16:uid="{37C0FA2E-CD6B-4014-BFEA-5C06637A520C}" name="balance_sheet50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48" xr16:uid="{1BC52F70-F675-4A1A-84AE-A258D651C4D6}" name="balance_sheet51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49" xr16:uid="{D09DFD6B-05E5-4EE3-B13D-68B07C372365}" name="balance_sheet52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50" xr16:uid="{675FF4B0-6778-4FAD-B950-B711B3563AC6}" name="balance_sheet53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51" xr16:uid="{2D1C8185-AF60-41A1-BD78-EC9D2CC2D882}" name="balance_sheet54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52" xr16:uid="{A70F6608-FDB8-41CE-B502-4B06078E5658}" name="balance_sheet55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53" xr16:uid="{6ADFD570-0D9A-44B7-B09C-5CD8D8EF7CAF}" name="balance_sheet56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54" xr16:uid="{31A3859E-5F0C-42F1-9AEC-E54A38881DAD}" name="balance_sheet57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55" xr16:uid="{1C71AB9B-FF76-4B34-AE33-401F81887644}" name="balance_sheet58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56" xr16:uid="{828CFE7A-A293-4897-8DFD-7847EA47E9ED}" name="balance_sheet59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57" xr16:uid="{DF55B816-B4D6-BE4B-938B-55F129B8AAB9}" name="balance_sheet6" type="6" refreshedVersion="8" background="1">
    <textPr prompt="0" codePage="936" sourceFile="/Users/filippodemin/Documents/DSBA/2nd YEAR/NUMERICAL_FINANCE/balance_sheet.csv" comma="1">
      <textFields>
        <textField/>
      </textFields>
    </textPr>
  </connection>
  <connection id="58" xr16:uid="{C54D3CB2-F092-4A77-B422-13ABC3F4EA97}" name="balance_sheet60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59" xr16:uid="{4A54D587-54D5-46D9-822B-059A145A8E65}" name="balance_sheet61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60" xr16:uid="{E427B1DD-7299-4ADE-B8A3-70446E63C0EA}" name="balance_sheet62" type="6" refreshedVersion="8" background="1">
    <textPr prompt="0" codePage="936" sourceFile="C:\Users\lucak\Documents\bocconi\dsba\DSBA_SEMESTER_3\APPLIED_NUMERICAL_FINANCE\final_project\PROJECT_ANF/balance_sheet.csv" thousands=" " comma="1">
      <textFields>
        <textField/>
      </textFields>
    </textPr>
  </connection>
  <connection id="61" xr16:uid="{242206D5-1434-A749-B418-CC584AE85DBD}" name="balance_sheet7" type="6" refreshedVersion="8" background="1">
    <textPr prompt="0" codePage="936" sourceFile="/Users/filippodemin/Documents/DSBA/2nd YEAR/NUMERICAL_FINANCE/balance_sheet.csv" comma="1">
      <textFields>
        <textField/>
      </textFields>
    </textPr>
  </connection>
  <connection id="62" xr16:uid="{D7BD72C0-CA19-334E-B989-47177B42A230}" name="balance_sheet8" type="6" refreshedVersion="8" background="1">
    <textPr prompt="0" codePage="936" sourceFile="/Users/filippodemin/Documents/DSBA/2nd YEAR/NUMERICAL_FINANCE/balance_sheet.csv" comma="1">
      <textFields>
        <textField/>
      </textFields>
    </textPr>
  </connection>
  <connection id="63" xr16:uid="{296D3B28-B7A8-7848-8826-B3FEFF8A6630}" name="balance_sheet9" type="6" refreshedVersion="8" background="1">
    <textPr prompt="0" codePage="936" sourceFile="/Users/filippodemin/Documents/DSBA/2nd_YEAR/NUMERICAL_FINANCE/balance_sheet.csv" comma="1">
      <textFields>
        <textField/>
      </textFields>
    </textPr>
  </connection>
  <connection id="64" xr16:uid="{5F3853E2-2DFB-0A47-A018-1BAB48D3F2B4}" name="financials" type="6" refreshedVersion="8" background="1">
    <textPr prompt="0" codePage="936" sourceFile="/Users/filippodemin/Documents/DSBA/2nd YEAR/NUMERICAL_FINANCE/financials.csv" comma="1">
      <textFields>
        <textField/>
      </textFields>
    </textPr>
  </connection>
  <connection id="65" xr16:uid="{21E52DDA-4CAC-C140-8A8A-9B52062DDD1A}" name="financials1" type="6" refreshedVersion="8" background="1">
    <textPr prompt="0" codePage="936" sourceFile="/Users/filippodemin/Documents/DSBA/2nd YEAR/NUMERICAL_FINANCE/financials.csv" comma="1">
      <textFields>
        <textField/>
      </textFields>
    </textPr>
  </connection>
  <connection id="66" xr16:uid="{5A37EFA0-E66D-B24B-905B-58C0500AD379}" name="financials10" type="6" refreshedVersion="8" background="1">
    <textPr prompt="0" codePage="936" sourceFile="/Users/filippodemin/Documents/DSBA/2nd YEAR/NUMERICAL_FINANCE/financials.csv" comma="1">
      <textFields>
        <textField/>
      </textFields>
    </textPr>
  </connection>
  <connection id="67" xr16:uid="{FE9210E2-F207-B649-BADA-933DE4AA6D2D}" name="financials11" type="6" refreshedVersion="8" background="1">
    <textPr prompt="0" codePage="936" sourceFile="/Users/filippodemin/Documents/DSBA/2nd YEAR/NUMERICAL_FINANCE/financials.csv" comma="1">
      <textFields>
        <textField/>
      </textFields>
    </textPr>
  </connection>
  <connection id="68" xr16:uid="{448404B8-2D4E-0C44-80FC-5354A9A78873}" name="financials12" type="6" refreshedVersion="8" background="1">
    <textPr prompt="0" codePage="936" sourceFile="/Users/filippodemin/Documents/DSBA/2nd_YEAR/NUMERICAL_FINANCE/financials.csv" comma="1">
      <textFields>
        <textField/>
      </textFields>
    </textPr>
  </connection>
  <connection id="69" xr16:uid="{5B38616B-108A-114B-8B43-489F0EF993C9}" name="financials13" type="6" refreshedVersion="8" background="1">
    <textPr prompt="0" codePage="936" sourceFile="/Users/filippodemin/Documents/DSBA/2nd_YEAR/NUMERICAL_FINANCE/financials.csv" comma="1">
      <textFields>
        <textField/>
      </textFields>
    </textPr>
  </connection>
  <connection id="70" xr16:uid="{76B0A7DD-45A0-594C-A07C-B8CF6ECDA114}" name="financials14" type="6" refreshedVersion="8" background="1">
    <textPr prompt="0" codePage="936" sourceFile="/Users/filippodemin/Documents/DSBA/2nd_YEAR/NUMERICAL_FINANCE/financials.csv" comma="1">
      <textFields>
        <textField/>
      </textFields>
    </textPr>
  </connection>
  <connection id="71" xr16:uid="{54A99C38-83AB-7642-AAC4-D5EB1ED7A48D}" name="financials15" type="6" refreshedVersion="8" background="1">
    <textPr prompt="0" codePage="936" sourceFile="/Users/filippodemin/Documents/DSBA/2nd_YEAR/NUMERICAL_FINANCE/financials.csv" comma="1">
      <textFields>
        <textField/>
      </textFields>
    </textPr>
  </connection>
  <connection id="72" xr16:uid="{738C96D3-8B69-4DD7-91C5-9A7E922DC84B}" name="financials16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73" xr16:uid="{694853B9-F818-4669-A87C-7C727DF3094B}" name="financials17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74" xr16:uid="{A3C10214-FCC7-4A1A-8655-716508FD1249}" name="financials18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75" xr16:uid="{A26C4893-2C4D-46CB-B699-BACB7DEC55A5}" name="financials19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76" xr16:uid="{095365F6-C9E7-4A43-B0EA-2792B660A945}" name="financials2" type="6" refreshedVersion="8" background="1">
    <textPr prompt="0" codePage="936" sourceFile="/Users/filippodemin/Documents/DSBA/2nd YEAR/NUMERICAL_FINANCE/financials.csv" comma="1">
      <textFields>
        <textField/>
      </textFields>
    </textPr>
  </connection>
  <connection id="77" xr16:uid="{2C3D230E-9696-413A-AF9E-873EC60A30DB}" name="financials20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78" xr16:uid="{256D2B58-3A4D-45D5-99D2-B057A3679393}" name="financials21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79" xr16:uid="{AFBE69C3-0365-48AF-B7DE-58FF2CD43EE1}" name="financials22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80" xr16:uid="{2D2F9BB7-5C56-4DFD-8956-B7921A5CE37D}" name="financials23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81" xr16:uid="{F35911E2-FB09-487F-93F1-D4D48E3BE769}" name="financials24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82" xr16:uid="{A563DA73-9AF6-4AD4-8CDB-D57B87902E52}" name="financials25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83" xr16:uid="{597ECD8E-25F8-4055-A2C0-F65EBBA5D22E}" name="financials26" type="6" refreshedVersion="8" background="1">
    <textPr prompt="0" codePage="936" sourceFile="C:\Users\Fili\Desktop\PROJECT_ANF/financials.csv" decimal="," thousands="." comma="1">
      <textFields>
        <textField/>
      </textFields>
    </textPr>
  </connection>
  <connection id="84" xr16:uid="{F628F3A0-C156-40C7-860E-77796ABA139A}" name="financials27" type="6" refreshedVersion="8" background="1">
    <textPr prompt="0" codePage="936" sourceFile="C:\Users\Fili\Desktop\PROJECT_ANF/financials.csv" decimal="," thousands="." comma="1">
      <textFields>
        <textField/>
      </textFields>
    </textPr>
  </connection>
  <connection id="85" xr16:uid="{8E935B6D-F8C8-4FF6-91A1-9C0A8DA0E22F}" name="financials28" type="6" refreshedVersion="8" background="1">
    <textPr prompt="0" codePage="936" sourceFile="C:\Users\Fili\Desktop\PROJECT_ANF/financials.csv" decimal="," thousands="." comma="1">
      <textFields>
        <textField/>
      </textFields>
    </textPr>
  </connection>
  <connection id="86" xr16:uid="{D26C6764-8EDB-417C-9986-C406E3AB437B}" name="financials29" type="6" refreshedVersion="8" background="1">
    <textPr prompt="0" codePage="936" sourceFile="C:\Users\Fili\Desktop\PROJECT_ANF/financials.csv" decimal="," thousands="." comma="1">
      <textFields>
        <textField/>
      </textFields>
    </textPr>
  </connection>
  <connection id="87" xr16:uid="{1C95B4FF-EFB0-6D4F-8B3A-E14EA097196E}" name="financials3" type="6" refreshedVersion="8" background="1">
    <textPr prompt="0" codePage="936" sourceFile="/Users/filippodemin/Documents/DSBA/2nd YEAR/NUMERICAL_FINANCE/financials.csv" comma="1">
      <textFields>
        <textField/>
      </textFields>
    </textPr>
  </connection>
  <connection id="88" xr16:uid="{6A0ED707-46DF-4D1F-8FE6-31EEC01E1BA5}" name="financials30" type="6" refreshedVersion="8" background="1">
    <textPr prompt="0" codePage="936" sourceFile="C:\Users\Fili\Desktop\PROJECT_ANF/financials.csv" decimal="," thousands="." comma="1">
      <textFields>
        <textField/>
      </textFields>
    </textPr>
  </connection>
  <connection id="89" xr16:uid="{C82D0F3A-76EB-4EBE-AFBE-851402DCDAEB}" name="financials31" type="6" refreshedVersion="8" background="1">
    <textPr prompt="0" codePage="936" sourceFile="C:\Users\Fili\Desktop\PROJECT_ANF/financials.csv" decimal="," thousands="." comma="1">
      <textFields>
        <textField/>
      </textFields>
    </textPr>
  </connection>
  <connection id="90" xr16:uid="{26727E78-17FE-40C3-9276-8B520252F2E9}" name="financials32" type="6" refreshedVersion="8" background="1">
    <textPr prompt="0" codePage="936" sourceFile="C:\Users\Fili\Desktop\PROJECT_ANF/financials.csv" decimal="," thousands="." comma="1">
      <textFields>
        <textField/>
      </textFields>
    </textPr>
  </connection>
  <connection id="91" xr16:uid="{2570E2C7-F3E8-494F-B151-7E98E23CC935}" name="financials33" type="6" refreshedVersion="8" background="1">
    <textPr prompt="0" codePage="936" sourceFile="C:\Users\Fili\Desktop\PROJECT_ANF/financials.csv" decimal="," thousands="." comma="1">
      <textFields>
        <textField/>
      </textFields>
    </textPr>
  </connection>
  <connection id="92" xr16:uid="{C7364C9E-0FFE-4F43-84CD-69982C36A403}" name="financials34" type="6" refreshedVersion="8" background="1">
    <textPr prompt="0" codePage="936" sourceFile="C:\Users\Fili\Desktop\PROJECT_ANF/financials.csv" decimal="," thousands="." comma="1">
      <textFields>
        <textField/>
      </textFields>
    </textPr>
  </connection>
  <connection id="93" xr16:uid="{D7D55E78-B625-4969-BF3E-7C1A1707A408}" name="financials35" type="6" refreshedVersion="8" background="1">
    <textPr prompt="0" codePage="936" sourceFile="C:\Users\Fili\Desktop\PROJECT_ANF/financials.csv" decimal="," thousands="." comma="1">
      <textFields>
        <textField/>
      </textFields>
    </textPr>
  </connection>
  <connection id="94" xr16:uid="{238BEF13-442C-49B6-9A80-0D502C6CFFC9}" name="financials36" type="6" refreshedVersion="8" background="1">
    <textPr prompt="0" codePage="936" sourceFile="C:\Users\Fili\Desktop\PROJECT_ANF/financials.csv" decimal="," thousands="." comma="1">
      <textFields>
        <textField/>
      </textFields>
    </textPr>
  </connection>
  <connection id="95" xr16:uid="{5FBD5BE1-E3B4-4839-838E-4E3B9CBF0446}" name="financials37" type="6" refreshedVersion="8" background="1">
    <textPr prompt="0" codePage="936" sourceFile="C:\Users\Fili\Desktop\PROJECT_ANF/financials.csv" decimal="," thousands="." comma="1">
      <textFields>
        <textField/>
      </textFields>
    </textPr>
  </connection>
  <connection id="96" xr16:uid="{82B6E457-A96C-4D76-879C-ED3BDD20AACA}" name="financials38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97" xr16:uid="{61204E4F-0245-4DE7-B4E7-79A5CEFD55B6}" name="financials39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98" xr16:uid="{1B93A171-CB78-1846-BBBF-458A38DC56FD}" name="financials4" type="6" refreshedVersion="8" background="1">
    <textPr prompt="0" codePage="936" sourceFile="/Users/filippodemin/Documents/DSBA/2nd YEAR/NUMERICAL_FINANCE/financials.csv" comma="1">
      <textFields>
        <textField/>
      </textFields>
    </textPr>
  </connection>
  <connection id="99" xr16:uid="{7DCB09BD-00A8-400E-8B13-3AF78719CE3D}" name="financials40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00" xr16:uid="{AA7CE820-204E-4F5C-91EE-E88A59A90161}" name="financials41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01" xr16:uid="{A8D00B51-8EBF-4F7D-A048-E4EFE4E803BF}" name="financials42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02" xr16:uid="{C16EB98F-01B6-46A1-BC2E-87E7C99ECB95}" name="financials43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03" xr16:uid="{D1A49FC5-591E-4414-9F7E-8F490D863120}" name="financials44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04" xr16:uid="{9FB81A52-F569-49EF-A3AC-4E0FF7E2587B}" name="financials45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05" xr16:uid="{53C0C003-85C7-466C-9F90-9801741536DE}" name="financials46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06" xr16:uid="{F938B478-B6B4-4B22-B10E-71457BF68E6A}" name="financials47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07" xr16:uid="{BCB565DF-853C-4198-8C99-36BB9EB46A29}" name="financials48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08" xr16:uid="{15B7C2CC-1D3C-44CE-BEC4-4A2AB2493191}" name="financials49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09" xr16:uid="{63BEDD69-FC20-1B40-8694-53EA91C9767D}" name="financials5" type="6" refreshedVersion="8" background="1">
    <textPr prompt="0" codePage="936" sourceFile="/Users/filippodemin/Documents/DSBA/2nd YEAR/NUMERICAL_FINANCE/financials.csv" comma="1">
      <textFields>
        <textField/>
      </textFields>
    </textPr>
  </connection>
  <connection id="110" xr16:uid="{14C8D2BA-89A1-4256-8E40-A2528645B812}" name="financials50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11" xr16:uid="{4042667E-F281-44F5-932D-0451B5781EB8}" name="financials51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12" xr16:uid="{1FA3B473-A73C-46F8-BD51-24C9CDA77B43}" name="financials52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13" xr16:uid="{1629101D-528E-4B26-A77F-EFBFA599EF4A}" name="financials53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14" xr16:uid="{7D68B982-1100-43BB-9E89-A11D07A27F8E}" name="financials54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15" xr16:uid="{51976F55-0AB1-42B0-AE88-6B3C78D0927F}" name="financials55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16" xr16:uid="{ED7B0BEB-E67F-4C77-8719-D7C83C762937}" name="financials56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17" xr16:uid="{2A9E34B7-D1EA-45A6-84E3-1964DF7BE7DB}" name="financials57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18" xr16:uid="{3175F292-34F5-41D5-9DBA-768EDFCBC84D}" name="financials58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19" xr16:uid="{017B44D1-3A19-4447-A6F5-C5AB1D478FCD}" name="financials59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20" xr16:uid="{ACB24236-F4F1-B24B-8D8C-9840F7477DAD}" name="financials6" type="6" refreshedVersion="8" background="1">
    <textPr prompt="0" codePage="936" sourceFile="/Users/filippodemin/Documents/DSBA/2nd YEAR/NUMERICAL_FINANCE/financials.csv" comma="1">
      <textFields>
        <textField/>
      </textFields>
    </textPr>
  </connection>
  <connection id="121" xr16:uid="{AE8323D8-0108-4168-83C9-F6D473F80AE3}" name="financials60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22" xr16:uid="{A0AB85BE-AFE5-41C3-8A6A-152DDD72B383}" name="financials61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23" xr16:uid="{12D63080-9CBC-4914-969F-1D367C5C7714}" name="financials62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24" xr16:uid="{CF1073BD-FCF3-4888-85FF-663F27687BC5}" name="financials63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25" xr16:uid="{F943682F-A4B4-4100-BA91-908CC7914665}" name="financials64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26" xr16:uid="{F918791A-A3C5-4E76-91CA-42755C5FA239}" name="financials65" type="6" refreshedVersion="8" background="1">
    <textPr prompt="0" codePage="936" sourceFile="C:\Users\lucak\Documents\bocconi\dsba\DSBA_SEMESTER_3\APPLIED_NUMERICAL_FINANCE\final_project\PROJECT_ANF/financials.csv" thousands=" " comma="1">
      <textFields>
        <textField/>
      </textFields>
    </textPr>
  </connection>
  <connection id="127" xr16:uid="{059F2E06-4C6C-4542-9C22-1EB26974F35D}" name="financials7" type="6" refreshedVersion="8" background="1">
    <textPr prompt="0" codePage="936" sourceFile="/Users/filippodemin/Documents/DSBA/2nd YEAR/NUMERICAL_FINANCE/financials.csv" comma="1">
      <textFields>
        <textField/>
      </textFields>
    </textPr>
  </connection>
  <connection id="128" xr16:uid="{320399CB-A6EA-7F48-9ADD-07FBCF7C7668}" name="financials8" type="6" refreshedVersion="8" background="1">
    <textPr prompt="0" codePage="936" sourceFile="/Users/filippodemin/Documents/DSBA/2nd YEAR/NUMERICAL_FINANCE/financials.csv" comma="1">
      <textFields>
        <textField/>
      </textFields>
    </textPr>
  </connection>
  <connection id="129" xr16:uid="{BD591F0E-CECE-8B4F-9018-A67E31A1305E}" name="financials9" type="6" refreshedVersion="8" background="1">
    <textPr prompt="0" codePage="936" sourceFile="/Users/filippodemin/Documents/DSBA/2nd YEAR/NUMERICAL_FINANCE/financials.csv" comma="1">
      <textFields>
        <textField/>
      </textFields>
    </textPr>
  </connection>
  <connection id="130" xr16:uid="{C33A6B4F-4865-3949-BEE6-6E5981295A15}" name="price" type="6" refreshedVersion="8" background="1" saveData="1">
    <textPr prompt="0" codePage="936" sourceFile="price.csv" comma="1">
      <textFields>
        <textField/>
      </textFields>
    </textPr>
  </connection>
  <connection id="131" xr16:uid="{8CDB01E3-5126-5742-A753-738A8B73DF94}" name="price1" type="6" refreshedVersion="8" background="1" saveData="1">
    <textPr prompt="0" codePage="936" sourceFile="price.csv" comma="1">
      <textFields>
        <textField/>
      </textFields>
    </textPr>
  </connection>
  <connection id="132" xr16:uid="{6F967F74-D8CE-A441-A953-8AE267D0A5CC}" name="price10" type="6" refreshedVersion="8" background="1">
    <textPr prompt="0" codePage="936" sourceFile="price.csv" comma="1">
      <textFields>
        <textField/>
      </textFields>
    </textPr>
  </connection>
  <connection id="133" xr16:uid="{0CA0C2C7-AD62-FD40-8B90-25F0013B9E9B}" name="price11" type="6" refreshedVersion="8" background="1">
    <textPr prompt="0" codePage="936" sourceFile="price.csv" comma="1">
      <textFields>
        <textField/>
      </textFields>
    </textPr>
  </connection>
  <connection id="134" xr16:uid="{639099E2-B9F0-C84E-A7D0-2521F51500F6}" name="price12" type="6" refreshedVersion="8" background="1">
    <textPr prompt="0" codePage="936" sourceFile="price.csv" comma="1">
      <textFields>
        <textField/>
      </textFields>
    </textPr>
  </connection>
  <connection id="135" xr16:uid="{DA876E68-A354-9642-A6C4-F5F5797A048E}" name="price14" type="6" refreshedVersion="8" background="1">
    <textPr prompt="0" codePage="936" sourceFile="price.csv" comma="1">
      <textFields>
        <textField/>
      </textFields>
    </textPr>
  </connection>
  <connection id="136" xr16:uid="{2E593D8D-774F-1942-9C22-3E5743A6117C}" name="price15" type="6" refreshedVersion="8" background="1" saveData="1">
    <textPr prompt="0" sourceFile="/Users/filippodemin/Documents/DSBA/2nd YEAR/NUMERICAL_FINANCE/price.csv">
      <textFields>
        <textField/>
      </textFields>
    </textPr>
  </connection>
  <connection id="137" xr16:uid="{17AC1F28-8AAD-A14C-B1A1-AC528EA0AAF5}" name="price16" type="6" refreshedVersion="8" background="1">
    <textPr prompt="0" codePage="936" sourceFile="/Users/filippodemin/Documents/DSBA/2nd YEAR/NUMERICAL_FINANCE/price.csv" comma="1">
      <textFields>
        <textField/>
      </textFields>
    </textPr>
  </connection>
  <connection id="138" xr16:uid="{2FED691E-A7BD-6E44-ACC7-3F2FEF3E9164}" name="price17" type="6" refreshedVersion="8" background="1">
    <textPr prompt="0" codePage="936" sourceFile="/Users/filippodemin/Documents/DSBA/2nd YEAR/NUMERICAL_FINANCE/price.csv" comma="1">
      <textFields>
        <textField/>
      </textFields>
    </textPr>
  </connection>
  <connection id="139" xr16:uid="{2F767EF6-78FF-6940-873B-57FA3A39EC2C}" name="price18" type="6" refreshedVersion="8" background="1">
    <textPr prompt="0" codePage="936" sourceFile="/Users/filippodemin/Documents/DSBA/2nd YEAR/NUMERICAL_FINANCE/price.csv" comma="1">
      <textFields>
        <textField/>
      </textFields>
    </textPr>
  </connection>
  <connection id="140" xr16:uid="{B03CEAAB-2321-0747-AA64-B4062B606A14}" name="price19" type="6" refreshedVersion="8" background="1">
    <textPr prompt="0" codePage="936" sourceFile="/Users/filippodemin/Documents/DSBA/2nd YEAR/NUMERICAL_FINANCE/price.csv" comma="1">
      <textFields>
        <textField/>
      </textFields>
    </textPr>
  </connection>
  <connection id="141" xr16:uid="{9B0ADA9B-8381-1641-B8C0-63A1C805D464}" name="price2" type="6" refreshedVersion="8" background="1" saveData="1">
    <textPr prompt="0" codePage="936" sourceFile="price.csv" comma="1">
      <textFields>
        <textField/>
      </textFields>
    </textPr>
  </connection>
  <connection id="142" xr16:uid="{D75CD980-121B-B945-87E2-F0F09C435B47}" name="price3" type="6" refreshedVersion="8" background="1" saveData="1">
    <textPr prompt="0" codePage="936" sourceFile="price.csv" comma="1">
      <textFields>
        <textField/>
      </textFields>
    </textPr>
  </connection>
  <connection id="143" xr16:uid="{4A6CBEC0-89A2-AE43-895B-FD86A7A026AC}" name="price4" type="6" refreshedVersion="8" background="1" saveData="1">
    <textPr prompt="0" codePage="936" sourceFile="price.csv" comma="1">
      <textFields>
        <textField/>
      </textFields>
    </textPr>
  </connection>
  <connection id="144" xr16:uid="{25A77062-CFE0-B745-8746-3B050B45B13F}" name="price6" type="6" refreshedVersion="8" background="1" saveData="1">
    <textPr prompt="0" codePage="936" sourceFile="price.csv" comma="1">
      <textFields>
        <textField/>
      </textFields>
    </textPr>
  </connection>
  <connection id="145" xr16:uid="{3FB8BB46-D724-2442-B863-D1E49D49CE9B}" name="price7" type="6" refreshedVersion="8" background="1" saveData="1">
    <textPr prompt="0" codePage="936" sourceFile="price.csv" comma="1">
      <textFields>
        <textField/>
      </textFields>
    </textPr>
  </connection>
  <connection id="146" xr16:uid="{69D4B40F-BF32-D94B-B64E-62B66F5EE638}" name="price8" type="6" refreshedVersion="8" background="1">
    <textPr prompt="0" codePage="936" sourceFile="price.csv" comma="1">
      <textFields>
        <textField/>
      </textFields>
    </textPr>
  </connection>
  <connection id="147" xr16:uid="{DF4DB00C-75A5-4148-A9DA-A796A4D350A7}" name="price9" type="6" refreshedVersion="8" background="1">
    <textPr prompt="0" codePage="936" sourceFile="/Users/filippodemin/Documents/DSBA/2nd YEAR/NUMERICAL_FINANCE/price.csv" comma="1">
      <textFields>
        <textField/>
      </textFields>
    </textPr>
  </connection>
  <connection id="148" xr16:uid="{6F32D90A-9662-1443-A13E-B43FDBD2B384}" name="prices" type="6" refreshedVersion="8" background="1">
    <textPr prompt="0" codePage="936" sourceFile="/Users/filippodemin/Documents/DSBA/2nd YEAR/NUMERICAL_FINANCE/prices.csv" comma="1">
      <textFields>
        <textField/>
      </textFields>
    </textPr>
  </connection>
  <connection id="149" xr16:uid="{39D14F2A-C56F-4BBD-B25B-47E2F205CF33}" name="prices_portfolio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50" xr16:uid="{6134BBA1-D5E3-4279-A5DB-8C76776F4CE7}" name="prices_portfolio1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51" xr16:uid="{E2D814E9-08A0-4AD3-ABDD-F82C9275523C}" name="prices_portfolio10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52" xr16:uid="{537C3DD8-24A0-4F71-8BED-CC5B4C02DE72}" name="prices_portfolio11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53" xr16:uid="{463F3373-BDCF-444B-BA28-FFCE2CA6EA4E}" name="prices_portfolio12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54" xr16:uid="{F260C0D0-67EB-4689-9809-C8650FA6B08E}" name="prices_portfolio13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55" xr16:uid="{36289BE5-1AF7-451F-AE7E-A9BF6CB00F49}" name="prices_portfolio14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56" xr16:uid="{D04D39BC-896B-4DF2-8EF7-367D4DFCBEC5}" name="prices_portfolio15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57" xr16:uid="{0CFC4293-1BA6-4B8E-AC97-8401040B88C0}" name="prices_portfolio16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58" xr16:uid="{37FE79FD-A93A-4738-9300-CCA9CF55C482}" name="prices_portfolio17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59" xr16:uid="{146CB008-343A-4AC0-AB47-9FEF608A2E81}" name="prices_portfolio18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60" xr16:uid="{2F48FB26-2440-4754-8970-EE38121819C1}" name="prices_portfolio19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61" xr16:uid="{2C46371F-14BE-49A1-B496-0464E8CEE57D}" name="prices_portfolio2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62" xr16:uid="{FA46E185-2E17-4D76-AB86-9728DE54CF4F}" name="prices_portfolio20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63" xr16:uid="{3BE2DEAC-2DDE-43D9-9E94-0FACE0E0F5A3}" name="prices_portfolio21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64" xr16:uid="{7D858DAA-AAD6-4D81-A3C8-3F1F03344C63}" name="prices_portfolio22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65" xr16:uid="{B51FD266-F1E0-490E-B091-B0B36D0B4141}" name="prices_portfolio23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66" xr16:uid="{F86655B2-19A8-43E2-B9EC-67DB15EC7344}" name="prices_portfolio24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67" xr16:uid="{08DD4ADE-9E66-4C94-A9BE-D6C691E065A2}" name="prices_portfolio25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68" xr16:uid="{1E7D57F5-0E0F-4C56-885E-A1A28A8CDBF3}" name="prices_portfolio26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69" xr16:uid="{EE67800F-8DD7-476E-AEF6-732B559091A7}" name="prices_portfolio27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70" xr16:uid="{07F9BDB3-DC0E-44E4-8E5B-0E168AFC76A7}" name="prices_portfolio28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71" xr16:uid="{D94A4081-19E1-47CA-B446-876E11551C7B}" name="prices_portfolio29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72" xr16:uid="{262D354B-78A1-49C4-822E-48541FBDD3F3}" name="prices_portfolio3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73" xr16:uid="{FBEEE0F7-CDEA-47A0-8CD8-DB5A1EE514EA}" name="prices_portfolio30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74" xr16:uid="{2B3D0970-B21A-4768-AE0C-AF4A25509BCA}" name="prices_portfolio31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75" xr16:uid="{DC46056B-731D-4784-AD60-AA2D6CFACBA5}" name="prices_portfolio32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76" xr16:uid="{90319121-35DB-4E40-ACE7-F40D3F6BED63}" name="prices_portfolio33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77" xr16:uid="{6641E89E-723C-4EB4-9BB2-D6590541B12E}" name="prices_portfolio34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78" xr16:uid="{FDB6299D-CFA0-4443-9364-7010F539F277}" name="prices_portfolio35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79" xr16:uid="{B8FEDF79-52D4-49D1-A517-AA551775D624}" name="prices_portfolio36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80" xr16:uid="{7629C591-FB16-49B8-93FE-2D6D7B1730F1}" name="prices_portfolio37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81" xr16:uid="{D1D6F807-7FF8-4032-A04B-692687B71F1D}" name="prices_portfolio38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82" xr16:uid="{E2544BE6-C3D2-42FC-99D6-5D714B640288}" name="prices_portfolio39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83" xr16:uid="{82ED7A2E-FBB6-44B9-892A-7B7238956A4D}" name="prices_portfolio4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84" xr16:uid="{F4560561-5F93-4004-9855-9C1FE64E69F0}" name="prices_portfolio40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85" xr16:uid="{B848BC97-2D89-41DE-A0FA-78BD838854C7}" name="prices_portfolio41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86" xr16:uid="{F01F7ABE-1A6A-47EE-B9B8-01B6032144D3}" name="prices_portfolio42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87" xr16:uid="{2D37C1D4-014F-4B6B-AAD7-E45B2CC8B38E}" name="prices_portfolio43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88" xr16:uid="{547F986E-1E7E-436F-8351-075BC38A5D59}" name="prices_portfolio44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89" xr16:uid="{75302AFD-F680-4C63-B268-F3B33DEA6F5A}" name="prices_portfolio45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90" xr16:uid="{FF224CC4-FCBF-4B58-BC35-3B76EFBD4884}" name="prices_portfolio46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91" xr16:uid="{7E757BFD-4949-40D3-93F0-0D0A37AAB3C2}" name="prices_portfolio47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92" xr16:uid="{6DF008A0-319E-4F42-9E84-DB9EDD00B2E4}" name="prices_portfolio48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93" xr16:uid="{7CB59EF8-D7CB-4F83-AFA7-F4E35EC2935B}" name="prices_portfolio49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94" xr16:uid="{0492E8A3-DAB9-4152-B804-7D40BBADFBC8}" name="prices_portfolio5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95" xr16:uid="{F425B988-35C0-48C3-9105-99864F53AF3D}" name="prices_portfolio50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96" xr16:uid="{E160CE5E-1412-4F3E-90F3-7CB11E13FE9C}" name="prices_portfolio51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97" xr16:uid="{7FEA083F-5DEA-4281-90F0-8FF289E6D317}" name="prices_portfolio52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98" xr16:uid="{BF7333EA-0F54-4B55-8A07-B1B5BF9DB708}" name="prices_portfolio53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199" xr16:uid="{F7AF2D3A-671D-42BD-BBF9-617AECBA5247}" name="prices_portfolio54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00" xr16:uid="{31ABD65F-4B21-4603-B1D2-AACA1CA008E4}" name="prices_portfolio55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01" xr16:uid="{1F8A3FD4-7C78-422B-B75F-8592ECEFDD0D}" name="prices_portfolio56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02" xr16:uid="{E64490C4-8BC8-48C7-9D4D-B8807C4CE2C0}" name="prices_portfolio57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03" xr16:uid="{8575F0F0-2965-4223-A8C6-513ADBB8DD7B}" name="prices_portfolio58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04" xr16:uid="{CB288D91-CA9E-4C9E-877D-9174492168DA}" name="prices_portfolio59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05" xr16:uid="{788875DA-F068-458B-8DEC-B5DED2437DE5}" name="prices_portfolio6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06" xr16:uid="{E96FAF9A-F074-4D49-B210-724F80E8705F}" name="prices_portfolio60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07" xr16:uid="{980695E9-D58D-4BAF-BE70-165BE0F19DE8}" name="prices_portfolio61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08" xr16:uid="{C50374A7-1D65-4B50-91AC-C63A36A87FD2}" name="prices_portfolio62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09" xr16:uid="{C825EF45-1418-418C-AC7A-B73C0F87F1CB}" name="prices_portfolio63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10" xr16:uid="{71757A99-FB80-47CD-9061-F372ABA0D5C1}" name="prices_portfolio64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11" xr16:uid="{B9364479-F244-44A8-B265-2BE15827AB8E}" name="prices_portfolio65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12" xr16:uid="{6A29DD4D-AA3E-4B03-B1BA-FB30E513E477}" name="prices_portfolio66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13" xr16:uid="{4A547865-5B3B-437D-9C74-FDC1E909A3F3}" name="prices_portfolio67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14" xr16:uid="{FD3A7370-9FD2-4720-AA3D-F5CCA6F17982}" name="prices_portfolio68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15" xr16:uid="{33ED6BF1-9412-4421-893F-C293C2730B86}" name="prices_portfolio69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16" xr16:uid="{ACCA9082-610D-4343-B0E5-D65612D153D0}" name="prices_portfolio7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17" xr16:uid="{730955DC-8722-43C2-AA9C-639D8320B3DA}" name="prices_portfolio70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18" xr16:uid="{482976CA-C297-483D-9151-8C67E9B9C729}" name="prices_portfolio71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19" xr16:uid="{47FE2BCE-DE88-4DCB-A09A-C9C946EA0BD9}" name="prices_portfolio72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20" xr16:uid="{864A7E71-7632-4D20-B514-4549D4B89E21}" name="prices_portfolio73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21" xr16:uid="{AE4648A8-8CF3-45DC-AE42-0FABB70E5DFC}" name="prices_portfolio74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22" xr16:uid="{BBFD667F-4378-4369-BE2E-96AB1A237A7F}" name="prices_portfolio8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23" xr16:uid="{566135BB-1B99-4031-B333-C250CC1C8F2E}" name="prices_portfolio9" type="6" refreshedVersion="8" background="1">
    <textPr prompt="0" codePage="936" sourceFile="C:\Users\lucak\Documents\bocconi\dsba\DSBA_SEMESTER_3\APPLIED_NUMERICAL_FINANCE\final_project\PROJECT_ANF/prices_portfolio.csv" thousands=" " comma="1">
      <textFields>
        <textField/>
      </textFields>
    </textPr>
  </connection>
  <connection id="224" xr16:uid="{BEBD5D58-B499-46A6-B04C-D205D638CFD1}" name="prices_sp500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25" xr16:uid="{83A390A4-1C61-4C9E-8BDF-685EEF671722}" name="prices_sp5001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26" xr16:uid="{C6869B56-E283-4456-B199-59F8CE0E62BC}" name="prices_sp50010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27" xr16:uid="{E8659647-D3B2-445F-96B6-D85770289A5F}" name="prices_sp50011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28" xr16:uid="{B534E47E-EDB6-475B-82C5-F467B423B033}" name="prices_sp50012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29" xr16:uid="{CD454B52-D759-4D25-867F-6D38C88E4B83}" name="prices_sp50013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30" xr16:uid="{C158F483-4122-4BD9-BE9E-4BB174C5B834}" name="prices_sp50014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31" xr16:uid="{6473587C-E248-4E03-A7F4-7C90EFC1D232}" name="prices_sp50015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32" xr16:uid="{C7E1224F-FC79-4EB8-A9B1-20792C8B6333}" name="prices_sp50016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33" xr16:uid="{C710E56C-6380-4159-8030-F158D2609575}" name="prices_sp50017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34" xr16:uid="{FFA8C740-DC43-4F0F-A543-A65A80A5B582}" name="prices_sp50018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35" xr16:uid="{61331A2F-5509-46E0-8EAE-41ABF6553134}" name="prices_sp50019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36" xr16:uid="{E004C078-6037-4084-88F1-9BCB6B3856B8}" name="prices_sp5002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37" xr16:uid="{E5F0CD08-9BD6-4F37-81A9-69A8BD9A7ED4}" name="prices_sp50020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38" xr16:uid="{FBB5CC36-DC02-4EDB-813C-915FEE87C260}" name="prices_sp50021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39" xr16:uid="{C41AFD58-CD71-40DB-A664-4386A1C9504F}" name="prices_sp50022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40" xr16:uid="{8BE63EC6-FBE7-49C0-BB4B-63D304B186A2}" name="prices_sp50023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41" xr16:uid="{12D57490-C9B7-4F7C-90BA-35C1AA97C015}" name="prices_sp50024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42" xr16:uid="{2D8E5CBA-4E58-4717-A29D-DEF02A0EFA86}" name="prices_sp50025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43" xr16:uid="{4810D184-9ED0-4DFE-9AC8-7B3D8BB90202}" name="prices_sp50026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44" xr16:uid="{74D6CD8F-EB2E-4CCA-8402-5D0BE704AFBA}" name="prices_sp50027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45" xr16:uid="{AADD121A-3E6C-4797-A604-B230A2D21BC9}" name="prices_sp50028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46" xr16:uid="{3D37B558-C541-43D1-B3C3-8345E7C5A0E3}" name="prices_sp50029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47" xr16:uid="{F324DE46-938A-47F4-AC45-E6539C0B37A9}" name="prices_sp5003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48" xr16:uid="{88389B73-E43F-4640-8FDE-AA7952DFCDDE}" name="prices_sp50030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49" xr16:uid="{86689195-1814-475D-838F-7B36187C813C}" name="prices_sp50031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50" xr16:uid="{EA24EE40-4C93-4FAE-B436-84566E45A1B3}" name="prices_sp50032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51" xr16:uid="{EFB07DBE-9682-4158-8D9F-348BA1099435}" name="prices_sp50033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52" xr16:uid="{14BD9683-7483-4D1F-9B25-463B511EB2C4}" name="prices_sp50034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53" xr16:uid="{B94204ED-33EF-451C-BFB5-05DCDE79330B}" name="prices_sp50035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54" xr16:uid="{A84E2AC3-D889-4F1B-B0B7-9E1E50CAACE6}" name="prices_sp50036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55" xr16:uid="{7BBE3B06-B16A-480A-AE74-C8BD118FC502}" name="prices_sp50037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56" xr16:uid="{4D6E502A-D373-40D8-932C-FDDEF1E248EE}" name="prices_sp50038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57" xr16:uid="{3996C8F1-7B38-41BA-8FA6-DD53CAB4048F}" name="prices_sp50039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58" xr16:uid="{F969B2DD-43C8-44F2-A5E5-C07B21F37115}" name="prices_sp5004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59" xr16:uid="{49EC4DEB-9538-4C48-A1DD-29BDDEEFDFCC}" name="prices_sp50040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60" xr16:uid="{15C5ADD2-352D-44BB-BEA0-059D7872193A}" name="prices_sp50041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61" xr16:uid="{4BB04200-AFE7-47DD-8F36-59EBCE63C6D1}" name="prices_sp50042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62" xr16:uid="{460DB18C-9BB8-47CA-A96B-2B4E15BC8D08}" name="prices_sp50043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63" xr16:uid="{45B3A6D4-5F53-401A-AEAA-FFBB7281E9D9}" name="prices_sp50044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64" xr16:uid="{7CA52AE2-BBEF-40C0-B34E-1766F70DCDE4}" name="prices_sp50045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65" xr16:uid="{51F4C627-BBBD-4779-89A4-1A6D7985036D}" name="prices_sp50046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66" xr16:uid="{A1FF97A3-6F7E-4962-9140-E38B48C91A56}" name="prices_sp50047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67" xr16:uid="{EB9EBA1F-0B77-411B-8220-2C37C9AB89B0}" name="prices_sp50048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68" xr16:uid="{34027DF2-F16E-4D51-B2E8-4E3D8F6EEA12}" name="prices_sp50049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69" xr16:uid="{3319BA24-D68E-44DD-808B-2477E1A88A2E}" name="prices_sp5005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70" xr16:uid="{47EB8F05-5909-454B-8544-B7ADBD8AB59B}" name="prices_sp50050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71" xr16:uid="{99A4E8A2-08C8-4A68-9F86-9EDA5310A376}" name="prices_sp50051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72" xr16:uid="{E7945D26-6F90-4902-BA89-8CE25B946BDF}" name="prices_sp50052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73" xr16:uid="{DD2F78C3-9B1F-4506-AB76-0F8079E4A0F3}" name="prices_sp50053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74" xr16:uid="{1F8126AC-2EB5-420C-B364-E7B4D077EEC7}" name="prices_sp50054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75" xr16:uid="{BDF3912A-B498-4341-BB43-AFF84E555D2C}" name="prices_sp50055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76" xr16:uid="{CE698D4F-2545-49DE-95EA-01A8859D9C84}" name="prices_sp50056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77" xr16:uid="{7B24203E-7341-414B-A825-DAFA0A4C2B4D}" name="prices_sp50057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78" xr16:uid="{713B565C-408C-4C09-B17B-73B68571D409}" name="prices_sp50058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79" xr16:uid="{88DC6699-835D-4004-8298-F03BEF90B3D5}" name="prices_sp50059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80" xr16:uid="{2F9F044C-6DE9-43CB-BFDD-24ED7340D1A3}" name="prices_sp5006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81" xr16:uid="{2CD19589-343C-40E0-B8F1-913247127766}" name="prices_sp50060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82" xr16:uid="{4AAD4FCB-4252-4449-836F-757744CDA171}" name="prices_sp50061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83" xr16:uid="{E47F5791-3CFD-42B1-86EF-3B827D5A5DAC}" name="prices_sp5007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84" xr16:uid="{DA75B7EE-4BDE-4168-8599-0F7FFFC230EA}" name="prices_sp5008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85" xr16:uid="{4C95BD24-4DBA-494D-8AAC-81B7D5968067}" name="prices_sp5009" type="6" refreshedVersion="8" background="1">
    <textPr prompt="0" codePage="936" sourceFile="C:\Users\lucak\Documents\bocconi\dsba\DSBA_SEMESTER_3\APPLIED_NUMERICAL_FINANCE\final_project\PROJECT_ANF/prices_sp500.csv" thousands=" " comma="1">
      <textFields>
        <textField/>
      </textFields>
    </textPr>
  </connection>
  <connection id="286" xr16:uid="{1D5646FE-6593-3A45-8499-50870775AC3C}" name="prices1" type="6" refreshedVersion="8" background="1">
    <textPr prompt="0" codePage="936" sourceFile="/Users/filippodemin/Documents/DSBA/2nd YEAR/NUMERICAL_FINANCE/prices.csv" comma="1">
      <textFields>
        <textField/>
      </textFields>
    </textPr>
  </connection>
  <connection id="287" xr16:uid="{6AA3FF7F-BFCD-084C-91D8-DBF0EF598659}" name="prices10" type="6" refreshedVersion="8" background="1">
    <textPr prompt="0" codePage="936" sourceFile="/Users/filippodemin/Documents/DSBA/2nd YEAR/NUMERICAL_FINANCE/prices.csv" comma="1">
      <textFields>
        <textField/>
      </textFields>
    </textPr>
  </connection>
  <connection id="288" xr16:uid="{85C27840-6554-A648-85EC-22BADD410626}" name="prices11" type="6" refreshedVersion="8" background="1">
    <textPr prompt="0" codePage="936" sourceFile="/Users/filippodemin/Documents/DSBA/2nd YEAR/NUMERICAL_FINANCE/prices.csv" comma="1">
      <textFields>
        <textField/>
      </textFields>
    </textPr>
  </connection>
  <connection id="289" xr16:uid="{F2890DB2-368E-144B-AEB6-E3F88345BA1D}" name="prices12" type="6" refreshedVersion="8" background="1">
    <textPr prompt="0" codePage="936" sourceFile="/Users/filippodemin/Documents/DSBA/2nd YEAR/NUMERICAL_FINANCE/prices.csv" comma="1">
      <textFields>
        <textField/>
      </textFields>
    </textPr>
  </connection>
  <connection id="290" xr16:uid="{1CCA1778-F21C-5C4B-B123-752BF20B8F91}" name="prices13" type="6" refreshedVersion="8" background="1">
    <textPr prompt="0" codePage="936" sourceFile="/Users/filippodemin/Documents/DSBA/2nd YEAR/NUMERICAL_FINANCE/prices.csv" comma="1">
      <textFields>
        <textField/>
      </textFields>
    </textPr>
  </connection>
  <connection id="291" xr16:uid="{48CF8F4B-154C-9A47-AE52-C0632AA0ED39}" name="prices14" type="6" refreshedVersion="8" background="1">
    <textPr prompt="0" codePage="936" sourceFile="/Users/filippodemin/Documents/DSBA/2nd YEAR/NUMERICAL_FINANCE/prices.csv" comma="1">
      <textFields>
        <textField/>
      </textFields>
    </textPr>
  </connection>
  <connection id="292" xr16:uid="{EBEEA248-B3F2-4CCE-93E7-2E09C97138AF}" name="prices15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293" xr16:uid="{03B1DEEC-F9FE-9443-8DBD-733F324C1ED5}" name="prices16" type="6" refreshedVersion="8" background="1">
    <textPr prompt="0" codePage="936" sourceFile="/Users/filippodemin/Documents/DSBA/2nd_YEAR/NUMERICAL_FINANCE/prices.csv" comma="1">
      <textFields>
        <textField/>
      </textFields>
    </textPr>
  </connection>
  <connection id="294" xr16:uid="{FBC7091B-C6B9-9743-8BB9-95A7BE45F51B}" name="prices17" type="6" refreshedVersion="8" background="1">
    <textPr prompt="0" codePage="936" sourceFile="/Users/filippodemin/Documents/DSBA/2nd_YEAR/NUMERICAL_FINANCE/prices.csv" comma="1">
      <textFields>
        <textField/>
      </textFields>
    </textPr>
  </connection>
  <connection id="295" xr16:uid="{BE64DF10-0DA3-D944-B217-8DE316B1D4F0}" name="prices18" type="6" refreshedVersion="8" background="1">
    <textPr prompt="0" codePage="936" sourceFile="/Users/filippodemin/Documents/DSBA/2nd_YEAR/NUMERICAL_FINANCE/prices.csv" comma="1">
      <textFields>
        <textField/>
      </textFields>
    </textPr>
  </connection>
  <connection id="296" xr16:uid="{9CF30405-4E77-BD4C-B53B-CF0A04DFB3A7}" name="prices19" type="6" refreshedVersion="8" background="1">
    <textPr prompt="0" codePage="936" sourceFile="/Users/filippodemin/Documents/DSBA/2nd_YEAR/NUMERICAL_FINANCE/prices.csv" comma="1">
      <textFields>
        <textField/>
      </textFields>
    </textPr>
  </connection>
  <connection id="297" xr16:uid="{38D28DA8-B978-EF49-A0F3-5317E7249847}" name="prices2" type="6" refreshedVersion="8" background="1">
    <textPr prompt="0" codePage="936" sourceFile="/Users/filippodemin/Documents/DSBA/2nd YEAR/NUMERICAL_FINANCE/prices.csv" comma="1">
      <textFields>
        <textField/>
      </textFields>
    </textPr>
  </connection>
  <connection id="298" xr16:uid="{A7679F7E-A6A9-435D-A39D-FE6A4AAD7DD4}" name="prices20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299" xr16:uid="{E8E8BB5A-A344-45E3-B46B-ACA045C24E43}" name="prices21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00" xr16:uid="{804E04A1-EF51-4E92-B9ED-CAFA5113A666}" name="prices22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01" xr16:uid="{DAD56A49-9EDD-491B-9D2A-1811036E46D6}" name="prices23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02" xr16:uid="{20C7B96B-736B-48DE-957A-413ACAB8D2B0}" name="prices24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03" xr16:uid="{3718F133-192D-4138-8BF9-246779B48EF2}" name="prices25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04" xr16:uid="{C5528B38-03A1-4C88-8E74-D7507824DF64}" name="prices26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05" xr16:uid="{AB295E6D-3B36-43D3-B9DF-D2CE9383890D}" name="prices27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06" xr16:uid="{0DFE0AE4-E3AF-490E-97C0-F58ADDF00031}" name="prices28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07" xr16:uid="{097A1C8E-200E-483E-AD12-7690B113A76F}" name="prices29" type="6" refreshedVersion="8" background="1">
    <textPr prompt="0" codePage="936" sourceFile="C:\Users\Fili\Desktop\PROJECT_ANF/prices.csv" decimal="," thousands="." comma="1">
      <textFields>
        <textField/>
      </textFields>
    </textPr>
  </connection>
  <connection id="308" xr16:uid="{DEEEE348-9F1B-BE40-83BC-89CD68FB5ABF}" name="prices3" type="6" refreshedVersion="8" background="1">
    <textPr prompt="0" codePage="936" sourceFile="/Users/filippodemin/Documents/DSBA/2nd YEAR/NUMERICAL_FINANCE/prices.csv" comma="1">
      <textFields>
        <textField/>
      </textFields>
    </textPr>
  </connection>
  <connection id="309" xr16:uid="{3A09FFB1-D8F8-400D-B008-5F9E975C125D}" name="prices30" type="6" refreshedVersion="8" background="1">
    <textPr prompt="0" codePage="936" sourceFile="C:\Users\Fili\Desktop\PROJECT_ANF/prices.csv" decimal="," thousands="." comma="1">
      <textFields>
        <textField/>
      </textFields>
    </textPr>
  </connection>
  <connection id="310" xr16:uid="{C95BAD9D-5AE2-450D-9B08-7A9A9D554BD5}" name="prices31" type="6" refreshedVersion="8" background="1">
    <textPr prompt="0" codePage="936" sourceFile="C:\Users\Fili\Desktop\PROJECT_ANF/prices.csv" decimal="," thousands="." comma="1">
      <textFields>
        <textField/>
      </textFields>
    </textPr>
  </connection>
  <connection id="311" xr16:uid="{0DFD6B36-A091-4CDB-A408-D403C8823D77}" name="prices32" type="6" refreshedVersion="8" background="1">
    <textPr prompt="0" codePage="936" sourceFile="C:\Users\Fili\Desktop\PROJECT_ANF/prices.csv" decimal="," thousands="." comma="1">
      <textFields>
        <textField/>
      </textFields>
    </textPr>
  </connection>
  <connection id="312" xr16:uid="{2D7F8B41-FF87-466A-9ECB-598414370D7C}" name="prices33" type="6" refreshedVersion="8" background="1">
    <textPr prompt="0" codePage="936" sourceFile="C:\Users\Fili\Desktop\PROJECT_ANF/prices.csv" decimal="," thousands="." comma="1">
      <textFields>
        <textField/>
      </textFields>
    </textPr>
  </connection>
  <connection id="313" xr16:uid="{CE0CD0AF-76B8-4E32-9382-A4288F2E012F}" name="prices34" type="6" refreshedVersion="8" background="1">
    <textPr prompt="0" codePage="936" sourceFile="C:\Users\Fili\Desktop\PROJECT_ANF/prices.csv" decimal="," thousands="." comma="1">
      <textFields>
        <textField/>
      </textFields>
    </textPr>
  </connection>
  <connection id="314" xr16:uid="{191FA947-6203-496A-A7D8-ED3F2238A7BA}" name="prices35" type="6" refreshedVersion="8" background="1">
    <textPr prompt="0" codePage="936" sourceFile="C:\Users\Fili\Desktop\PROJECT_ANF/prices.csv" decimal="," thousands="." comma="1">
      <textFields>
        <textField/>
      </textFields>
    </textPr>
  </connection>
  <connection id="315" xr16:uid="{2BED75C4-0F5A-4755-9DEA-90F3D4B7C548}" name="prices36" type="6" refreshedVersion="8" background="1">
    <textPr prompt="0" codePage="936" sourceFile="C:\Users\Fili\Desktop\PROJECT_ANF/prices.csv" decimal="," thousands="." comma="1">
      <textFields>
        <textField/>
      </textFields>
    </textPr>
  </connection>
  <connection id="316" xr16:uid="{5D95A5EA-EC7B-44A7-BB62-CEB861998144}" name="prices37" type="6" refreshedVersion="8" background="1">
    <textPr prompt="0" codePage="936" sourceFile="C:\Users\Fili\Desktop\PROJECT_ANF/prices.csv" decimal="," thousands="." comma="1">
      <textFields>
        <textField/>
      </textFields>
    </textPr>
  </connection>
  <connection id="317" xr16:uid="{8A9AB7EF-CEE7-4C7B-82B0-43D5B7F2161A}" name="prices38" type="6" refreshedVersion="8" background="1">
    <textPr prompt="0" codePage="936" sourceFile="C:\Users\Fili\Desktop\PROJECT_ANF/prices.csv" decimal="," thousands="." comma="1">
      <textFields>
        <textField/>
      </textFields>
    </textPr>
  </connection>
  <connection id="318" xr16:uid="{9C985CB9-4C25-485D-B243-F789FC77EFD1}" name="prices39" type="6" refreshedVersion="8" background="1">
    <textPr prompt="0" codePage="936" sourceFile="C:\Users\Fili\Desktop\PROJECT_ANF/prices.csv" decimal="," thousands="." comma="1">
      <textFields>
        <textField/>
      </textFields>
    </textPr>
  </connection>
  <connection id="319" xr16:uid="{2F0EC951-8173-354D-9D29-1E371E4BC08C}" name="prices4" type="6" refreshedVersion="8" background="1">
    <textPr prompt="0" codePage="936" sourceFile="/Users/filippodemin/Documents/DSBA/2nd YEAR/NUMERICAL_FINANCE/prices.csv" comma="1">
      <textFields>
        <textField/>
      </textFields>
    </textPr>
  </connection>
  <connection id="320" xr16:uid="{4F99D60B-2F0C-4E0D-A020-D6007FCB7612}" name="prices40" type="6" refreshedVersion="8" background="1">
    <textPr prompt="0" codePage="936" sourceFile="C:\Users\Fili\Desktop\PROJECT_ANF/prices.csv" decimal="," thousands="." comma="1">
      <textFields>
        <textField/>
      </textFields>
    </textPr>
  </connection>
  <connection id="321" xr16:uid="{05557820-BB91-4C43-8AB0-D80B1EA32E67}" name="prices41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22" xr16:uid="{6C18BB09-1644-4A6F-ACCC-63D7515D839D}" name="prices42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23" xr16:uid="{35BD44AA-3055-4741-A524-B67B1C9A08C5}" name="prices43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24" xr16:uid="{4C5EEA0D-B62E-459D-B0C7-4739C00F5249}" name="prices44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25" xr16:uid="{4F8C5FBC-0C86-4E7D-A849-16ACDD4833A2}" name="prices45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26" xr16:uid="{95BCBED7-0513-4A40-8765-1765C64CD78F}" name="prices46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27" xr16:uid="{519B4DFD-E598-4381-80BD-13C4F5D16D9B}" name="prices47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28" xr16:uid="{CA5698D0-1F67-49DB-9322-EA51AB0D28E4}" name="prices48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29" xr16:uid="{2CF3677B-0032-423E-9C82-EEE91AE30FA9}" name="prices49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30" xr16:uid="{613F8286-9815-DD43-AA79-7600D3BAF924}" name="prices5" type="6" refreshedVersion="8" background="1">
    <textPr prompt="0" codePage="936" sourceFile="/Users/filippodemin/Documents/DSBA/2nd YEAR/NUMERICAL_FINANCE/prices.csv" comma="1">
      <textFields>
        <textField/>
      </textFields>
    </textPr>
  </connection>
  <connection id="331" xr16:uid="{3E43BDFE-D507-45F6-9D3F-325EE368CE1C}" name="prices50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32" xr16:uid="{C07C68D1-5104-4AF9-A700-5E630E47B5B3}" name="prices51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33" xr16:uid="{8B207F95-FC77-4EA4-BD03-BCB32163DAA7}" name="prices52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34" xr16:uid="{C31DB4D9-D56F-4801-8355-07FCC7DA08A9}" name="prices53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35" xr16:uid="{5A657C14-618F-4F49-9D38-07D9A066B1F1}" name="prices54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36" xr16:uid="{DF269C7B-2A52-4BC4-B1C8-3418CF3EB569}" name="prices55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37" xr16:uid="{17266FB8-1622-432F-A7BF-F80CB0A32DA2}" name="prices56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38" xr16:uid="{3D0D1A03-C38D-492D-8C2D-4645C1EE0F31}" name="prices57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39" xr16:uid="{075F3493-7863-4223-AD01-D25111EF64A4}" name="prices58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40" xr16:uid="{5F83B71C-FFF7-43B6-90AE-7A1F4BB36AE5}" name="prices59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41" xr16:uid="{CCDA2D30-8047-0148-A795-A2BDE9C432A9}" name="prices6" type="6" refreshedVersion="8" background="1">
    <textPr prompt="0" codePage="936" sourceFile="/Users/filippodemin/Documents/DSBA/2nd YEAR/NUMERICAL_FINANCE/prices.csv" comma="1">
      <textFields>
        <textField/>
      </textFields>
    </textPr>
  </connection>
  <connection id="342" xr16:uid="{AAAC89ED-F64A-4BF8-9A79-235094CB84B3}" name="prices60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43" xr16:uid="{78CCE33B-DE43-4918-B9DB-FFC7F4709C6F}" name="prices61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44" xr16:uid="{8947B8DF-1FA5-4CB7-81F8-07F3A4E86418}" name="prices62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45" xr16:uid="{4C7DBFA0-78EC-4B59-99B5-81DB68F96446}" name="prices63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46" xr16:uid="{DCED2BDF-1B0B-43A2-BFFF-95D59F4E5ADC}" name="prices64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47" xr16:uid="{0008A495-6D37-49CF-9424-05641F821B3D}" name="prices65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48" xr16:uid="{5E366A38-562F-4D9C-A9E2-988BA82BDF76}" name="prices66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49" xr16:uid="{C3AF5A5A-1122-4635-8807-D7602786DCEB}" name="prices67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50" xr16:uid="{22B9B67A-73F0-4DCF-9D9C-AF34B4B94659}" name="prices68" type="6" refreshedVersion="8" background="1">
    <textPr prompt="0" codePage="936" sourceFile="C:\Users\lucak\Documents\bocconi\dsba\DSBA_SEMESTER_3\APPLIED_NUMERICAL_FINANCE\final_project\PROJECT_ANF/prices.csv" thousands=" " comma="1">
      <textFields>
        <textField/>
      </textFields>
    </textPr>
  </connection>
  <connection id="351" xr16:uid="{C6302362-AAC8-A64E-AF99-6175683D4C5E}" name="prices7" type="6" refreshedVersion="8" background="1">
    <textPr prompt="0" codePage="936" sourceFile="prices.csv" comma="1">
      <textFields>
        <textField/>
      </textFields>
    </textPr>
  </connection>
  <connection id="352" xr16:uid="{A825BA87-4DC9-4B49-8C00-57E43FE437F7}" name="prices8" type="6" refreshedVersion="8" background="1">
    <textPr prompt="0" codePage="936" sourceFile="prices.csv" comma="1">
      <textFields>
        <textField/>
      </textFields>
    </textPr>
  </connection>
  <connection id="353" xr16:uid="{4B172193-40D0-454E-A92E-8AAF783AC52A}" name="prices9" type="6" refreshedVersion="8" background="1">
    <textPr prompt="0" codePage="936" sourceFile="prices.csv" comma="1">
      <textFields>
        <textField/>
      </textFields>
    </textPr>
  </connection>
  <connection id="354" xr16:uid="{0C785491-01D7-674C-A896-961C43A1A2BC}" keepAlive="1" name="Query - sp500" description="Connection to the 'sp500' query in the workbook." type="5" refreshedVersion="8" background="1" saveData="1">
    <dbPr connection="Provider=Microsoft.Mashup.OleDb.1;Data Source=$Workbook$;Location=sp500;Extended Properties=&quot;&quot;" command="SELECT * FROM [sp500]"/>
  </connection>
  <connection id="355" xr16:uid="{2004867A-7DAF-554E-BF00-A4D9D916EBF5}" keepAlive="1" name="Query - sp500 (2)" description="Connection to the 'sp500 (2)' query in the workbook." type="5" refreshedVersion="8" background="1">
    <dbPr connection="Provider=Microsoft.Mashup.OleDb.1;Data Source=$Workbook$;Location=&quot;sp500 (2)&quot;;Extended Properties=&quot;&quot;" command="SELECT * FROM [sp500 (2)]"/>
  </connection>
  <connection id="356" xr16:uid="{C236B8F7-2CE6-2640-BDB9-DB06438A6B10}" name="test1" type="6" refreshedVersion="8" background="1">
    <textPr prompt="0" codePage="936" sourceFile="/Users/filippodemin/Documents/DSBA/2nd YEAR/NUMERICAL_FINANCE/test.csv" comma="1">
      <textFields>
        <textField/>
      </textFields>
    </textPr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<sst xmlns="http://schemas.openxmlformats.org/spreadsheetml/2006/main" count="1686" uniqueCount="1157">
  <si>
    <t>Symbol</t>
  </si>
  <si>
    <t>Security</t>
  </si>
  <si>
    <t>GICS Sector</t>
  </si>
  <si>
    <t>MMM</t>
  </si>
  <si>
    <t>3M</t>
  </si>
  <si>
    <t>Industrials</t>
  </si>
  <si>
    <t>AOS</t>
  </si>
  <si>
    <t>A. O. Smith</t>
  </si>
  <si>
    <t>ABT</t>
  </si>
  <si>
    <t>Abbott Laboratories</t>
  </si>
  <si>
    <t>Health Care</t>
  </si>
  <si>
    <t>ABBV</t>
  </si>
  <si>
    <t>AbbVie</t>
  </si>
  <si>
    <t>ACN</t>
  </si>
  <si>
    <t>Accenture</t>
  </si>
  <si>
    <t>Information Technology</t>
  </si>
  <si>
    <t>ADBE</t>
  </si>
  <si>
    <t>Adobe Inc.</t>
  </si>
  <si>
    <t>AMD</t>
  </si>
  <si>
    <t>Advanced Micro Devices</t>
  </si>
  <si>
    <t>AES</t>
  </si>
  <si>
    <t>AES Corporation</t>
  </si>
  <si>
    <t>Utilities</t>
  </si>
  <si>
    <t>AFL</t>
  </si>
  <si>
    <t>Aflac</t>
  </si>
  <si>
    <t>Financials</t>
  </si>
  <si>
    <t>A</t>
  </si>
  <si>
    <t>Agilent Technologies</t>
  </si>
  <si>
    <t>APD</t>
  </si>
  <si>
    <t>Air Products</t>
  </si>
  <si>
    <t>Materials</t>
  </si>
  <si>
    <t>ABNB</t>
  </si>
  <si>
    <t>Airbnb</t>
  </si>
  <si>
    <t>Consumer Discretionary</t>
  </si>
  <si>
    <t>AKAM</t>
  </si>
  <si>
    <t>Akamai Technologies</t>
  </si>
  <si>
    <t>ALB</t>
  </si>
  <si>
    <t>Albemarle Corporation</t>
  </si>
  <si>
    <t>ARE</t>
  </si>
  <si>
    <t>Alexandria Real Estate Equities</t>
  </si>
  <si>
    <t>Real Estate</t>
  </si>
  <si>
    <t>ALGN</t>
  </si>
  <si>
    <t>Align Technology</t>
  </si>
  <si>
    <t>ALLE</t>
  </si>
  <si>
    <t>Allegion</t>
  </si>
  <si>
    <t>LNT</t>
  </si>
  <si>
    <t>Alliant Energy</t>
  </si>
  <si>
    <t>ALL</t>
  </si>
  <si>
    <t>Allstate</t>
  </si>
  <si>
    <t>GOOGL</t>
  </si>
  <si>
    <t>Alphabet Inc. (Class A)</t>
  </si>
  <si>
    <t>Communication Services</t>
  </si>
  <si>
    <t>GOOG</t>
  </si>
  <si>
    <t>Alphabet Inc. (Class C)</t>
  </si>
  <si>
    <t>MO</t>
  </si>
  <si>
    <t>Altria</t>
  </si>
  <si>
    <t>Consumer Staples</t>
  </si>
  <si>
    <t>AMZN</t>
  </si>
  <si>
    <t>Amazon</t>
  </si>
  <si>
    <t>AMCR</t>
  </si>
  <si>
    <t>Amcor</t>
  </si>
  <si>
    <t>AMTM</t>
  </si>
  <si>
    <t>Amentum</t>
  </si>
  <si>
    <t>AEE</t>
  </si>
  <si>
    <t>Ameren</t>
  </si>
  <si>
    <t>AEP</t>
  </si>
  <si>
    <t>American Electric Power</t>
  </si>
  <si>
    <t>AXP</t>
  </si>
  <si>
    <t>American Express</t>
  </si>
  <si>
    <t>AIG</t>
  </si>
  <si>
    <t>American International Group</t>
  </si>
  <si>
    <t>AMT</t>
  </si>
  <si>
    <t>American Tower</t>
  </si>
  <si>
    <t>AWK</t>
  </si>
  <si>
    <t>American Water Works</t>
  </si>
  <si>
    <t>AMP</t>
  </si>
  <si>
    <t>Ameriprise Financial</t>
  </si>
  <si>
    <t>AME</t>
  </si>
  <si>
    <t>Ametek</t>
  </si>
  <si>
    <t>AMGN</t>
  </si>
  <si>
    <t>Amgen</t>
  </si>
  <si>
    <t>APH</t>
  </si>
  <si>
    <t>Amphenol</t>
  </si>
  <si>
    <t>ADI</t>
  </si>
  <si>
    <t>Analog Devices</t>
  </si>
  <si>
    <t>ANSS</t>
  </si>
  <si>
    <t>Ansys</t>
  </si>
  <si>
    <t>AON</t>
  </si>
  <si>
    <t>Aon</t>
  </si>
  <si>
    <t>APA</t>
  </si>
  <si>
    <t>APA Corporation</t>
  </si>
  <si>
    <t>Energy</t>
  </si>
  <si>
    <t>AAPL</t>
  </si>
  <si>
    <t>Apple Inc.</t>
  </si>
  <si>
    <t>AMAT</t>
  </si>
  <si>
    <t>Applied Materials</t>
  </si>
  <si>
    <t>APTV</t>
  </si>
  <si>
    <t>Aptiv</t>
  </si>
  <si>
    <t>ACGL</t>
  </si>
  <si>
    <t>Arch Capital Group</t>
  </si>
  <si>
    <t>ADM</t>
  </si>
  <si>
    <t>Archer Daniels Midland</t>
  </si>
  <si>
    <t>ANET</t>
  </si>
  <si>
    <t>Arista Networks</t>
  </si>
  <si>
    <t>AJG</t>
  </si>
  <si>
    <t>Arthur J. Gallagher &amp; Co.</t>
  </si>
  <si>
    <t>AIZ</t>
  </si>
  <si>
    <t>Assurant</t>
  </si>
  <si>
    <t>T</t>
  </si>
  <si>
    <t>AT&amp;T</t>
  </si>
  <si>
    <t>ATO</t>
  </si>
  <si>
    <t>Atmos Energy</t>
  </si>
  <si>
    <t>ADSK</t>
  </si>
  <si>
    <t>Autodesk</t>
  </si>
  <si>
    <t>ADP</t>
  </si>
  <si>
    <t>Automatic Data Processing</t>
  </si>
  <si>
    <t>AZO</t>
  </si>
  <si>
    <t>AutoZone</t>
  </si>
  <si>
    <t>AVB</t>
  </si>
  <si>
    <t>AvalonBay Communities</t>
  </si>
  <si>
    <t>AVY</t>
  </si>
  <si>
    <t>Avery Dennison</t>
  </si>
  <si>
    <t>AXON</t>
  </si>
  <si>
    <t>Axon Enterprise</t>
  </si>
  <si>
    <t>BKR</t>
  </si>
  <si>
    <t>Baker Hughes</t>
  </si>
  <si>
    <t>BALL</t>
  </si>
  <si>
    <t>Ball Corporation</t>
  </si>
  <si>
    <t>BAC</t>
  </si>
  <si>
    <t>Bank of America</t>
  </si>
  <si>
    <t>BAX</t>
  </si>
  <si>
    <t>Baxter International</t>
  </si>
  <si>
    <t>BDX</t>
  </si>
  <si>
    <t>Becton Dickinson</t>
  </si>
  <si>
    <t>BRK.B</t>
  </si>
  <si>
    <t>Berkshire Hathaway</t>
  </si>
  <si>
    <t>BBY</t>
  </si>
  <si>
    <t>Best Buy</t>
  </si>
  <si>
    <t>TECH</t>
  </si>
  <si>
    <t>Bio-Techne</t>
  </si>
  <si>
    <t>BIIB</t>
  </si>
  <si>
    <t>Biogen</t>
  </si>
  <si>
    <t>BLK</t>
  </si>
  <si>
    <t>BlackRock</t>
  </si>
  <si>
    <t>BX</t>
  </si>
  <si>
    <t>Blackstone Inc.</t>
  </si>
  <si>
    <t>BK</t>
  </si>
  <si>
    <t>BNY Mellon</t>
  </si>
  <si>
    <t>BA</t>
  </si>
  <si>
    <t>Boeing</t>
  </si>
  <si>
    <t>BKNG</t>
  </si>
  <si>
    <t>Booking Holdings</t>
  </si>
  <si>
    <t>BWA</t>
  </si>
  <si>
    <t>BorgWarner</t>
  </si>
  <si>
    <t>BSX</t>
  </si>
  <si>
    <t>Boston Scientific</t>
  </si>
  <si>
    <t>BMY</t>
  </si>
  <si>
    <t>Bristol Myers Squibb</t>
  </si>
  <si>
    <t>AVGO</t>
  </si>
  <si>
    <t>Broadcom</t>
  </si>
  <si>
    <t>BR</t>
  </si>
  <si>
    <t>Broadridge Financial Solutions</t>
  </si>
  <si>
    <t>BRO</t>
  </si>
  <si>
    <t>Brown &amp; Brown</t>
  </si>
  <si>
    <t>BF.B</t>
  </si>
  <si>
    <t>Brown–Forman</t>
  </si>
  <si>
    <t>BLDR</t>
  </si>
  <si>
    <t>Builders FirstSource</t>
  </si>
  <si>
    <t>BG</t>
  </si>
  <si>
    <t>Bunge Global</t>
  </si>
  <si>
    <t>BXP</t>
  </si>
  <si>
    <t>BXP, Inc.</t>
  </si>
  <si>
    <t>CHRW</t>
  </si>
  <si>
    <t>C.H. Robinson</t>
  </si>
  <si>
    <t>CDNS</t>
  </si>
  <si>
    <t>Cadence Design Systems</t>
  </si>
  <si>
    <t>CZR</t>
  </si>
  <si>
    <t>Caesars Entertainment</t>
  </si>
  <si>
    <t>CPT</t>
  </si>
  <si>
    <t>Camden Property Trust</t>
  </si>
  <si>
    <t>CPB</t>
  </si>
  <si>
    <t>Campbell Soup Company</t>
  </si>
  <si>
    <t>COF</t>
  </si>
  <si>
    <t>Capital One</t>
  </si>
  <si>
    <t>CAH</t>
  </si>
  <si>
    <t>Cardinal Health</t>
  </si>
  <si>
    <t>KMX</t>
  </si>
  <si>
    <t>CarMax</t>
  </si>
  <si>
    <t>CCL</t>
  </si>
  <si>
    <t>Carnival</t>
  </si>
  <si>
    <t>CARR</t>
  </si>
  <si>
    <t>Carrier Global</t>
  </si>
  <si>
    <t>CTLT</t>
  </si>
  <si>
    <t>Catalent</t>
  </si>
  <si>
    <t>CAT</t>
  </si>
  <si>
    <t>Caterpillar Inc.</t>
  </si>
  <si>
    <t>CBOE</t>
  </si>
  <si>
    <t>Cboe Global Markets</t>
  </si>
  <si>
    <t>CBRE</t>
  </si>
  <si>
    <t>CBRE Group</t>
  </si>
  <si>
    <t>CDW</t>
  </si>
  <si>
    <t>CE</t>
  </si>
  <si>
    <t>Celanese</t>
  </si>
  <si>
    <t>COR</t>
  </si>
  <si>
    <t>Cencora</t>
  </si>
  <si>
    <t>CNC</t>
  </si>
  <si>
    <t>Centene Corporation</t>
  </si>
  <si>
    <t>CNP</t>
  </si>
  <si>
    <t>CenterPoint Energy</t>
  </si>
  <si>
    <t>CF</t>
  </si>
  <si>
    <t>CF Industries</t>
  </si>
  <si>
    <t>CRL</t>
  </si>
  <si>
    <t>Charles River Laboratories</t>
  </si>
  <si>
    <t>SCHW</t>
  </si>
  <si>
    <t>Charles Schwab Corporation</t>
  </si>
  <si>
    <t>CHTR</t>
  </si>
  <si>
    <t>Charter Communications</t>
  </si>
  <si>
    <t>CVX</t>
  </si>
  <si>
    <t>Chevron Corporation</t>
  </si>
  <si>
    <t>CMG</t>
  </si>
  <si>
    <t>Chipotle Mexican Grill</t>
  </si>
  <si>
    <t>CB</t>
  </si>
  <si>
    <t>Chubb Limited</t>
  </si>
  <si>
    <t>CHD</t>
  </si>
  <si>
    <t>Church &amp; Dwight</t>
  </si>
  <si>
    <t>CI</t>
  </si>
  <si>
    <t>Cigna</t>
  </si>
  <si>
    <t>CINF</t>
  </si>
  <si>
    <t>Cincinnati Financial</t>
  </si>
  <si>
    <t>CTAS</t>
  </si>
  <si>
    <t>Cintas</t>
  </si>
  <si>
    <t>CSCO</t>
  </si>
  <si>
    <t>Cisco</t>
  </si>
  <si>
    <t>C</t>
  </si>
  <si>
    <t>Citigroup</t>
  </si>
  <si>
    <t>CFG</t>
  </si>
  <si>
    <t>Citizens Financial Group</t>
  </si>
  <si>
    <t>CLX</t>
  </si>
  <si>
    <t>Clorox</t>
  </si>
  <si>
    <t>CME</t>
  </si>
  <si>
    <t>CME Group</t>
  </si>
  <si>
    <t>CMS</t>
  </si>
  <si>
    <t>CMS Energy</t>
  </si>
  <si>
    <t>KO</t>
  </si>
  <si>
    <t>Coca-Cola Company (The)</t>
  </si>
  <si>
    <t>CTSH</t>
  </si>
  <si>
    <t>Cognizant</t>
  </si>
  <si>
    <t>CL</t>
  </si>
  <si>
    <t>Colgate-Palmolive</t>
  </si>
  <si>
    <t>CMCSA</t>
  </si>
  <si>
    <t>Comcast</t>
  </si>
  <si>
    <t>CAG</t>
  </si>
  <si>
    <t>Conagra Brands</t>
  </si>
  <si>
    <t>COP</t>
  </si>
  <si>
    <t>ConocoPhillips</t>
  </si>
  <si>
    <t>ED</t>
  </si>
  <si>
    <t>Consolidated Edison</t>
  </si>
  <si>
    <t>STZ</t>
  </si>
  <si>
    <t>Constellation Brands</t>
  </si>
  <si>
    <t>CEG</t>
  </si>
  <si>
    <t>Constellation Energy</t>
  </si>
  <si>
    <t>COO</t>
  </si>
  <si>
    <t>Cooper Companies (The)</t>
  </si>
  <si>
    <t>CPRT</t>
  </si>
  <si>
    <t>Copart</t>
  </si>
  <si>
    <t>GLW</t>
  </si>
  <si>
    <t>Corning Inc.</t>
  </si>
  <si>
    <t>CPAY</t>
  </si>
  <si>
    <t>Corpay</t>
  </si>
  <si>
    <t>CTVA</t>
  </si>
  <si>
    <t>Corteva</t>
  </si>
  <si>
    <t>CSGP</t>
  </si>
  <si>
    <t>CoStar Group</t>
  </si>
  <si>
    <t>COST</t>
  </si>
  <si>
    <t>Costco</t>
  </si>
  <si>
    <t>CTRA</t>
  </si>
  <si>
    <t>Coterra</t>
  </si>
  <si>
    <t>CRWD</t>
  </si>
  <si>
    <t>CrowdStrike</t>
  </si>
  <si>
    <t>CCI</t>
  </si>
  <si>
    <t>Crown Castle</t>
  </si>
  <si>
    <t>CSX</t>
  </si>
  <si>
    <t>CSX Corporation</t>
  </si>
  <si>
    <t>CMI</t>
  </si>
  <si>
    <t>Cummins</t>
  </si>
  <si>
    <t>CVS</t>
  </si>
  <si>
    <t>CVS Health</t>
  </si>
  <si>
    <t>DHR</t>
  </si>
  <si>
    <t>Danaher Corporation</t>
  </si>
  <si>
    <t>DRI</t>
  </si>
  <si>
    <t>Darden Restaurants</t>
  </si>
  <si>
    <t>DVA</t>
  </si>
  <si>
    <t>DaVita</t>
  </si>
  <si>
    <t>DAY</t>
  </si>
  <si>
    <t>Dayforce</t>
  </si>
  <si>
    <t>DECK</t>
  </si>
  <si>
    <t>Deckers Brands</t>
  </si>
  <si>
    <t>DE</t>
  </si>
  <si>
    <t>Deere &amp; Company</t>
  </si>
  <si>
    <t>DELL</t>
  </si>
  <si>
    <t>Dell Technologies</t>
  </si>
  <si>
    <t>DAL</t>
  </si>
  <si>
    <t>Delta Air Lines</t>
  </si>
  <si>
    <t>DVN</t>
  </si>
  <si>
    <t>Devon Energy</t>
  </si>
  <si>
    <t>DXCM</t>
  </si>
  <si>
    <t>Dexcom</t>
  </si>
  <si>
    <t>FANG</t>
  </si>
  <si>
    <t>Diamondback Energy</t>
  </si>
  <si>
    <t>DLR</t>
  </si>
  <si>
    <t>Digital Realty</t>
  </si>
  <si>
    <t>DFS</t>
  </si>
  <si>
    <t>Discover Financial</t>
  </si>
  <si>
    <t>DG</t>
  </si>
  <si>
    <t>Dollar General</t>
  </si>
  <si>
    <t>DLTR</t>
  </si>
  <si>
    <t>Dollar Tree</t>
  </si>
  <si>
    <t>D</t>
  </si>
  <si>
    <t>Dominion Energy</t>
  </si>
  <si>
    <t>DPZ</t>
  </si>
  <si>
    <t>Domino's</t>
  </si>
  <si>
    <t>DOV</t>
  </si>
  <si>
    <t>Dover Corporation</t>
  </si>
  <si>
    <t>DOW</t>
  </si>
  <si>
    <t>Dow Inc.</t>
  </si>
  <si>
    <t>DHI</t>
  </si>
  <si>
    <t>D. R. Horton</t>
  </si>
  <si>
    <t>DTE</t>
  </si>
  <si>
    <t>DTE Energy</t>
  </si>
  <si>
    <t>DUK</t>
  </si>
  <si>
    <t>Duke Energy</t>
  </si>
  <si>
    <t>DD</t>
  </si>
  <si>
    <t>DuPont</t>
  </si>
  <si>
    <t>EMN</t>
  </si>
  <si>
    <t>Eastman Chemical Company</t>
  </si>
  <si>
    <t>ETN</t>
  </si>
  <si>
    <t>Eaton Corporation</t>
  </si>
  <si>
    <t>EBAY</t>
  </si>
  <si>
    <t>eBay</t>
  </si>
  <si>
    <t>ECL</t>
  </si>
  <si>
    <t>Ecolab</t>
  </si>
  <si>
    <t>EIX</t>
  </si>
  <si>
    <t>Edison International</t>
  </si>
  <si>
    <t>EW</t>
  </si>
  <si>
    <t>Edwards Lifesciences</t>
  </si>
  <si>
    <t>EA</t>
  </si>
  <si>
    <t>Electronic Arts</t>
  </si>
  <si>
    <t>ELV</t>
  </si>
  <si>
    <t>Elevance Health</t>
  </si>
  <si>
    <t>EMR</t>
  </si>
  <si>
    <t>Emerson Electric</t>
  </si>
  <si>
    <t>ENPH</t>
  </si>
  <si>
    <t>Enphase Energy</t>
  </si>
  <si>
    <t>ETR</t>
  </si>
  <si>
    <t>Entergy</t>
  </si>
  <si>
    <t>EOG</t>
  </si>
  <si>
    <t>EOG Resources</t>
  </si>
  <si>
    <t>EPAM</t>
  </si>
  <si>
    <t>EPAM Systems</t>
  </si>
  <si>
    <t>EQT</t>
  </si>
  <si>
    <t>EQT Corporation</t>
  </si>
  <si>
    <t>EFX</t>
  </si>
  <si>
    <t>Equifax</t>
  </si>
  <si>
    <t>EQIX</t>
  </si>
  <si>
    <t>Equinix</t>
  </si>
  <si>
    <t>EQR</t>
  </si>
  <si>
    <t>Equity Residential</t>
  </si>
  <si>
    <t>ERIE</t>
  </si>
  <si>
    <t>Erie Indemnity</t>
  </si>
  <si>
    <t>ESS</t>
  </si>
  <si>
    <t>Essex Property Trust</t>
  </si>
  <si>
    <t>EL</t>
  </si>
  <si>
    <t>Estée Lauder Companies (The)</t>
  </si>
  <si>
    <t>EG</t>
  </si>
  <si>
    <t>Everest Group</t>
  </si>
  <si>
    <t>EVRG</t>
  </si>
  <si>
    <t>Evergy</t>
  </si>
  <si>
    <t>ES</t>
  </si>
  <si>
    <t>Eversource Energy</t>
  </si>
  <si>
    <t>EXC</t>
  </si>
  <si>
    <t>Exelon</t>
  </si>
  <si>
    <t>EXPE</t>
  </si>
  <si>
    <t>Expedia Group</t>
  </si>
  <si>
    <t>EXPD</t>
  </si>
  <si>
    <t>Expeditors International</t>
  </si>
  <si>
    <t>EXR</t>
  </si>
  <si>
    <t>Extra Space Storage</t>
  </si>
  <si>
    <t>XOM</t>
  </si>
  <si>
    <t>ExxonMobil</t>
  </si>
  <si>
    <t>FFIV</t>
  </si>
  <si>
    <t>F5, Inc.</t>
  </si>
  <si>
    <t>FDS</t>
  </si>
  <si>
    <t>FactSet</t>
  </si>
  <si>
    <t>FICO</t>
  </si>
  <si>
    <t>Fair Isaac</t>
  </si>
  <si>
    <t>FAST</t>
  </si>
  <si>
    <t>Fastenal</t>
  </si>
  <si>
    <t>FRT</t>
  </si>
  <si>
    <t>Federal Realty Investment Trust</t>
  </si>
  <si>
    <t>FDX</t>
  </si>
  <si>
    <t>FedEx</t>
  </si>
  <si>
    <t>FIS</t>
  </si>
  <si>
    <t>Fidelity National Information Services</t>
  </si>
  <si>
    <t>FITB</t>
  </si>
  <si>
    <t>Fifth Third Bancorp</t>
  </si>
  <si>
    <t>FSLR</t>
  </si>
  <si>
    <t>First Solar</t>
  </si>
  <si>
    <t>FE</t>
  </si>
  <si>
    <t>FirstEnergy</t>
  </si>
  <si>
    <t>FI</t>
  </si>
  <si>
    <t>Fiserv</t>
  </si>
  <si>
    <t>FMC</t>
  </si>
  <si>
    <t>FMC Corporation</t>
  </si>
  <si>
    <t>F</t>
  </si>
  <si>
    <t>Ford Motor Company</t>
  </si>
  <si>
    <t>FTNT</t>
  </si>
  <si>
    <t>Fortinet</t>
  </si>
  <si>
    <t>FTV</t>
  </si>
  <si>
    <t>Fortive</t>
  </si>
  <si>
    <t>FOXA</t>
  </si>
  <si>
    <t>Fox Corporation (Class A)</t>
  </si>
  <si>
    <t>FOX</t>
  </si>
  <si>
    <t>Fox Corporation (Class B)</t>
  </si>
  <si>
    <t>BEN</t>
  </si>
  <si>
    <t>Franklin Resources</t>
  </si>
  <si>
    <t>FCX</t>
  </si>
  <si>
    <t>Freeport-McMoRan</t>
  </si>
  <si>
    <t>GRMN</t>
  </si>
  <si>
    <t>Garmin</t>
  </si>
  <si>
    <t>IT</t>
  </si>
  <si>
    <t>Gartner</t>
  </si>
  <si>
    <t>GE</t>
  </si>
  <si>
    <t>GE Aerospace</t>
  </si>
  <si>
    <t>GEHC</t>
  </si>
  <si>
    <t>GE HealthCare</t>
  </si>
  <si>
    <t>GEV</t>
  </si>
  <si>
    <t>GE Vernova</t>
  </si>
  <si>
    <t>GEN</t>
  </si>
  <si>
    <t>Gen Digital</t>
  </si>
  <si>
    <t>GNRC</t>
  </si>
  <si>
    <t>Generac</t>
  </si>
  <si>
    <t>GD</t>
  </si>
  <si>
    <t>General Dynamics</t>
  </si>
  <si>
    <t>GIS</t>
  </si>
  <si>
    <t>General Mills</t>
  </si>
  <si>
    <t>GM</t>
  </si>
  <si>
    <t>General Motors</t>
  </si>
  <si>
    <t>GPC</t>
  </si>
  <si>
    <t>Genuine Parts Company</t>
  </si>
  <si>
    <t>GILD</t>
  </si>
  <si>
    <t>Gilead Sciences</t>
  </si>
  <si>
    <t>GPN</t>
  </si>
  <si>
    <t>Global Payments</t>
  </si>
  <si>
    <t>GL</t>
  </si>
  <si>
    <t>Globe Life</t>
  </si>
  <si>
    <t>GDDY</t>
  </si>
  <si>
    <t>GoDaddy</t>
  </si>
  <si>
    <t>GS</t>
  </si>
  <si>
    <t>Goldman Sachs</t>
  </si>
  <si>
    <t>HAL</t>
  </si>
  <si>
    <t>Halliburton</t>
  </si>
  <si>
    <t>HIG</t>
  </si>
  <si>
    <t>Hartford (The)</t>
  </si>
  <si>
    <t>HAS</t>
  </si>
  <si>
    <t>Hasbro</t>
  </si>
  <si>
    <t>HCA</t>
  </si>
  <si>
    <t>HCA Healthcare</t>
  </si>
  <si>
    <t>DOC</t>
  </si>
  <si>
    <t>Healthpeak Properties</t>
  </si>
  <si>
    <t>HSIC</t>
  </si>
  <si>
    <t>Henry Schein</t>
  </si>
  <si>
    <t>HSY</t>
  </si>
  <si>
    <t>Hershey Company (The)</t>
  </si>
  <si>
    <t>HES</t>
  </si>
  <si>
    <t>Hess Corporation</t>
  </si>
  <si>
    <t>HPE</t>
  </si>
  <si>
    <t>Hewlett Packard Enterprise</t>
  </si>
  <si>
    <t>HLT</t>
  </si>
  <si>
    <t>Hilton Worldwide</t>
  </si>
  <si>
    <t>HOLX</t>
  </si>
  <si>
    <t>Hologic</t>
  </si>
  <si>
    <t>HD</t>
  </si>
  <si>
    <t>Home Depot (The)</t>
  </si>
  <si>
    <t>HON</t>
  </si>
  <si>
    <t>Honeywell</t>
  </si>
  <si>
    <t>HRL</t>
  </si>
  <si>
    <t>Hormel Foods</t>
  </si>
  <si>
    <t>HST</t>
  </si>
  <si>
    <t>Host Hotels &amp; Resorts</t>
  </si>
  <si>
    <t>HWM</t>
  </si>
  <si>
    <t>Howmet Aerospace</t>
  </si>
  <si>
    <t>HPQ</t>
  </si>
  <si>
    <t>HP Inc.</t>
  </si>
  <si>
    <t>HUBB</t>
  </si>
  <si>
    <t>Hubbell Incorporated</t>
  </si>
  <si>
    <t>HUM</t>
  </si>
  <si>
    <t>Humana</t>
  </si>
  <si>
    <t>HBAN</t>
  </si>
  <si>
    <t>Huntington Bancshares</t>
  </si>
  <si>
    <t>HII</t>
  </si>
  <si>
    <t>Huntington Ingalls Industries</t>
  </si>
  <si>
    <t>IBM</t>
  </si>
  <si>
    <t>IEX</t>
  </si>
  <si>
    <t>IDEX Corporation</t>
  </si>
  <si>
    <t>IDXX</t>
  </si>
  <si>
    <t>Idexx Laboratories</t>
  </si>
  <si>
    <t>ITW</t>
  </si>
  <si>
    <t>Illinois Tool Works</t>
  </si>
  <si>
    <t>INCY</t>
  </si>
  <si>
    <t>Incyte</t>
  </si>
  <si>
    <t>IR</t>
  </si>
  <si>
    <t>Ingersoll Rand</t>
  </si>
  <si>
    <t>PODD</t>
  </si>
  <si>
    <t>Insulet Corporation</t>
  </si>
  <si>
    <t>INTC</t>
  </si>
  <si>
    <t>Intel</t>
  </si>
  <si>
    <t>ICE</t>
  </si>
  <si>
    <t>Intercontinental Exchange</t>
  </si>
  <si>
    <t>IFF</t>
  </si>
  <si>
    <t>International Flavors &amp; Fragrances</t>
  </si>
  <si>
    <t>IP</t>
  </si>
  <si>
    <t>International Paper</t>
  </si>
  <si>
    <t>IPG</t>
  </si>
  <si>
    <t>Interpublic Group of Companies (The)</t>
  </si>
  <si>
    <t>INTU</t>
  </si>
  <si>
    <t>Intuit</t>
  </si>
  <si>
    <t>ISRG</t>
  </si>
  <si>
    <t>Intuitive Surgical</t>
  </si>
  <si>
    <t>IVZ</t>
  </si>
  <si>
    <t>Invesco</t>
  </si>
  <si>
    <t>INVH</t>
  </si>
  <si>
    <t>Invitation Homes</t>
  </si>
  <si>
    <t>IQV</t>
  </si>
  <si>
    <t>IQVIA</t>
  </si>
  <si>
    <t>IRM</t>
  </si>
  <si>
    <t>Iron Mountain</t>
  </si>
  <si>
    <t>JBHT</t>
  </si>
  <si>
    <t>J.B. Hunt</t>
  </si>
  <si>
    <t>JBL</t>
  </si>
  <si>
    <t>Jabil</t>
  </si>
  <si>
    <t>JKHY</t>
  </si>
  <si>
    <t>Jack Henry &amp; Associates</t>
  </si>
  <si>
    <t>J</t>
  </si>
  <si>
    <t>Jacobs Solutions</t>
  </si>
  <si>
    <t>JNJ</t>
  </si>
  <si>
    <t>Johnson &amp; Johnson</t>
  </si>
  <si>
    <t>JCI</t>
  </si>
  <si>
    <t>Johnson Controls</t>
  </si>
  <si>
    <t>JPM</t>
  </si>
  <si>
    <t>JPMorgan Chase</t>
  </si>
  <si>
    <t>JNPR</t>
  </si>
  <si>
    <t>Juniper Networks</t>
  </si>
  <si>
    <t>K</t>
  </si>
  <si>
    <t>Kellanova</t>
  </si>
  <si>
    <t>KVUE</t>
  </si>
  <si>
    <t>Kenvue</t>
  </si>
  <si>
    <t>KDP</t>
  </si>
  <si>
    <t>Keurig Dr Pepper</t>
  </si>
  <si>
    <t>KEY</t>
  </si>
  <si>
    <t>KeyCorp</t>
  </si>
  <si>
    <t>KEYS</t>
  </si>
  <si>
    <t>Keysight Technologies</t>
  </si>
  <si>
    <t>KMB</t>
  </si>
  <si>
    <t>Kimberly-Clark</t>
  </si>
  <si>
    <t>KIM</t>
  </si>
  <si>
    <t>Kimco Realty</t>
  </si>
  <si>
    <t>KMI</t>
  </si>
  <si>
    <t>Kinder Morgan</t>
  </si>
  <si>
    <t>KKR</t>
  </si>
  <si>
    <t>KLAC</t>
  </si>
  <si>
    <t>KLA Corporation</t>
  </si>
  <si>
    <t>KHC</t>
  </si>
  <si>
    <t>Kraft Heinz</t>
  </si>
  <si>
    <t>KR</t>
  </si>
  <si>
    <t>Kroger</t>
  </si>
  <si>
    <t>LHX</t>
  </si>
  <si>
    <t>L3Harris</t>
  </si>
  <si>
    <t>LH</t>
  </si>
  <si>
    <t>LabCorp</t>
  </si>
  <si>
    <t>LRCX</t>
  </si>
  <si>
    <t>Lam Research</t>
  </si>
  <si>
    <t>LW</t>
  </si>
  <si>
    <t>Lamb Weston</t>
  </si>
  <si>
    <t>LVS</t>
  </si>
  <si>
    <t>Las Vegas Sands</t>
  </si>
  <si>
    <t>LDOS</t>
  </si>
  <si>
    <t>Leidos</t>
  </si>
  <si>
    <t>LEN</t>
  </si>
  <si>
    <t>Lennar</t>
  </si>
  <si>
    <t>LLY</t>
  </si>
  <si>
    <t>Lilly (Eli)</t>
  </si>
  <si>
    <t>LIN</t>
  </si>
  <si>
    <t>Linde plc</t>
  </si>
  <si>
    <t>LYV</t>
  </si>
  <si>
    <t>Live Nation Entertainment</t>
  </si>
  <si>
    <t>LKQ</t>
  </si>
  <si>
    <t>LKQ Corporation</t>
  </si>
  <si>
    <t>LMT</t>
  </si>
  <si>
    <t>Lockheed Martin</t>
  </si>
  <si>
    <t>L</t>
  </si>
  <si>
    <t>Loews Corporation</t>
  </si>
  <si>
    <t>LOW</t>
  </si>
  <si>
    <t>Lowe's</t>
  </si>
  <si>
    <t>LULU</t>
  </si>
  <si>
    <t>Lululemon Athletica</t>
  </si>
  <si>
    <t>LYB</t>
  </si>
  <si>
    <t>LyondellBasell</t>
  </si>
  <si>
    <t>MTB</t>
  </si>
  <si>
    <t>M&amp;T Bank</t>
  </si>
  <si>
    <t>MPC</t>
  </si>
  <si>
    <t>Marathon Petroleum</t>
  </si>
  <si>
    <t>MKTX</t>
  </si>
  <si>
    <t>MarketAxess</t>
  </si>
  <si>
    <t>MAR</t>
  </si>
  <si>
    <t>Marriott International</t>
  </si>
  <si>
    <t>MMC</t>
  </si>
  <si>
    <t>Marsh McLennan</t>
  </si>
  <si>
    <t>MLM</t>
  </si>
  <si>
    <t>Martin Marietta Materials</t>
  </si>
  <si>
    <t>MAS</t>
  </si>
  <si>
    <t>Masco</t>
  </si>
  <si>
    <t>MA</t>
  </si>
  <si>
    <t>Mastercard</t>
  </si>
  <si>
    <t>MTCH</t>
  </si>
  <si>
    <t>Match Group</t>
  </si>
  <si>
    <t>MKC</t>
  </si>
  <si>
    <t>McCormick &amp; Company</t>
  </si>
  <si>
    <t>MCD</t>
  </si>
  <si>
    <t>McDonald's</t>
  </si>
  <si>
    <t>MCK</t>
  </si>
  <si>
    <t>McKesson Corporation</t>
  </si>
  <si>
    <t>MDT</t>
  </si>
  <si>
    <t>Medtronic</t>
  </si>
  <si>
    <t>MRK</t>
  </si>
  <si>
    <t>Merck &amp; Co.</t>
  </si>
  <si>
    <t>META</t>
  </si>
  <si>
    <t>Meta Platforms</t>
  </si>
  <si>
    <t>MET</t>
  </si>
  <si>
    <t>MetLife</t>
  </si>
  <si>
    <t>MTD</t>
  </si>
  <si>
    <t>Mettler Toledo</t>
  </si>
  <si>
    <t>MGM</t>
  </si>
  <si>
    <t>MGM Resorts</t>
  </si>
  <si>
    <t>MCHP</t>
  </si>
  <si>
    <t>Microchip Technology</t>
  </si>
  <si>
    <t>MU</t>
  </si>
  <si>
    <t>Micron Technology</t>
  </si>
  <si>
    <t>MSFT</t>
  </si>
  <si>
    <t>Microsoft</t>
  </si>
  <si>
    <t>MAA</t>
  </si>
  <si>
    <t>Mid-America Apartment Communities</t>
  </si>
  <si>
    <t>MRNA</t>
  </si>
  <si>
    <t>Moderna</t>
  </si>
  <si>
    <t>MHK</t>
  </si>
  <si>
    <t>Mohawk Industries</t>
  </si>
  <si>
    <t>MOH</t>
  </si>
  <si>
    <t>Molina Healthcare</t>
  </si>
  <si>
    <t>TAP</t>
  </si>
  <si>
    <t>Molson Coors Beverage Company</t>
  </si>
  <si>
    <t>MDLZ</t>
  </si>
  <si>
    <t>Mondelez International</t>
  </si>
  <si>
    <t>MPWR</t>
  </si>
  <si>
    <t>Monolithic Power Systems</t>
  </si>
  <si>
    <t>MNST</t>
  </si>
  <si>
    <t>Monster Beverage</t>
  </si>
  <si>
    <t>MCO</t>
  </si>
  <si>
    <t>Moody's Corporation</t>
  </si>
  <si>
    <t>MS</t>
  </si>
  <si>
    <t>Morgan Stanley</t>
  </si>
  <si>
    <t>MOS</t>
  </si>
  <si>
    <t>Mosaic Company (The)</t>
  </si>
  <si>
    <t>MSI</t>
  </si>
  <si>
    <t>Motorola Solutions</t>
  </si>
  <si>
    <t>MSCI</t>
  </si>
  <si>
    <t>NDAQ</t>
  </si>
  <si>
    <t>Nasdaq, Inc.</t>
  </si>
  <si>
    <t>NTAP</t>
  </si>
  <si>
    <t>NetApp</t>
  </si>
  <si>
    <t>NFLX</t>
  </si>
  <si>
    <t>Netflix</t>
  </si>
  <si>
    <t>NEM</t>
  </si>
  <si>
    <t>Newmont</t>
  </si>
  <si>
    <t>NWSA</t>
  </si>
  <si>
    <t>News Corp (Class A)</t>
  </si>
  <si>
    <t>NWS</t>
  </si>
  <si>
    <t>News Corp (Class B)</t>
  </si>
  <si>
    <t>NEE</t>
  </si>
  <si>
    <t>NextEra Energy</t>
  </si>
  <si>
    <t>NKE</t>
  </si>
  <si>
    <t>Nike, Inc.</t>
  </si>
  <si>
    <t>NI</t>
  </si>
  <si>
    <t>NiSource</t>
  </si>
  <si>
    <t>NDSN</t>
  </si>
  <si>
    <t>Nordson Corporation</t>
  </si>
  <si>
    <t>NSC</t>
  </si>
  <si>
    <t>Norfolk Southern Railway</t>
  </si>
  <si>
    <t>NTRS</t>
  </si>
  <si>
    <t>Northern Trust</t>
  </si>
  <si>
    <t>NOC</t>
  </si>
  <si>
    <t>Northrop Grumman</t>
  </si>
  <si>
    <t>NCLH</t>
  </si>
  <si>
    <t>Norwegian Cruise Line Holdings</t>
  </si>
  <si>
    <t>NRG</t>
  </si>
  <si>
    <t>NRG Energy</t>
  </si>
  <si>
    <t>NUE</t>
  </si>
  <si>
    <t>Nucor</t>
  </si>
  <si>
    <t>NVDA</t>
  </si>
  <si>
    <t>Nvidia</t>
  </si>
  <si>
    <t>NVR</t>
  </si>
  <si>
    <t>NVR, Inc.</t>
  </si>
  <si>
    <t>NXPI</t>
  </si>
  <si>
    <t>NXP Semiconductors</t>
  </si>
  <si>
    <t>ORLY</t>
  </si>
  <si>
    <t>O'Reilly Auto Parts</t>
  </si>
  <si>
    <t>OXY</t>
  </si>
  <si>
    <t>Occidental Petroleum</t>
  </si>
  <si>
    <t>ODFL</t>
  </si>
  <si>
    <t>Old Dominion</t>
  </si>
  <si>
    <t>OMC</t>
  </si>
  <si>
    <t>Omnicom Group</t>
  </si>
  <si>
    <t>ON</t>
  </si>
  <si>
    <t>ON Semiconductor</t>
  </si>
  <si>
    <t>OKE</t>
  </si>
  <si>
    <t>ONEOK</t>
  </si>
  <si>
    <t>ORCL</t>
  </si>
  <si>
    <t>Oracle Corporation</t>
  </si>
  <si>
    <t>OTIS</t>
  </si>
  <si>
    <t>Otis Worldwide</t>
  </si>
  <si>
    <t>PCAR</t>
  </si>
  <si>
    <t>Paccar</t>
  </si>
  <si>
    <t>PKG</t>
  </si>
  <si>
    <t>Packaging Corporation of America</t>
  </si>
  <si>
    <t>PLTR</t>
  </si>
  <si>
    <t>Palantir Technologies</t>
  </si>
  <si>
    <t>PANW</t>
  </si>
  <si>
    <t>Palo Alto Networks</t>
  </si>
  <si>
    <t>PARA</t>
  </si>
  <si>
    <t>Paramount Global</t>
  </si>
  <si>
    <t>PH</t>
  </si>
  <si>
    <t>Parker Hannifin</t>
  </si>
  <si>
    <t>PAYX</t>
  </si>
  <si>
    <t>Paychex</t>
  </si>
  <si>
    <t>PAYC</t>
  </si>
  <si>
    <t>Paycom</t>
  </si>
  <si>
    <t>PYPL</t>
  </si>
  <si>
    <t>PayPal</t>
  </si>
  <si>
    <t>PNR</t>
  </si>
  <si>
    <t>Pentair</t>
  </si>
  <si>
    <t>PEP</t>
  </si>
  <si>
    <t>PepsiCo</t>
  </si>
  <si>
    <t>PFE</t>
  </si>
  <si>
    <t>Pfizer</t>
  </si>
  <si>
    <t>PCG</t>
  </si>
  <si>
    <t>PG&amp;E Corporation</t>
  </si>
  <si>
    <t>PM</t>
  </si>
  <si>
    <t>Philip Morris International</t>
  </si>
  <si>
    <t>PSX</t>
  </si>
  <si>
    <t>Phillips 66</t>
  </si>
  <si>
    <t>PNW</t>
  </si>
  <si>
    <t>Pinnacle West</t>
  </si>
  <si>
    <t>PNC</t>
  </si>
  <si>
    <t>PNC Financial Services</t>
  </si>
  <si>
    <t>POOL</t>
  </si>
  <si>
    <t>Pool Corporation</t>
  </si>
  <si>
    <t>PPG</t>
  </si>
  <si>
    <t>PPG Industries</t>
  </si>
  <si>
    <t>PPL</t>
  </si>
  <si>
    <t>PPL Corporation</t>
  </si>
  <si>
    <t>PFG</t>
  </si>
  <si>
    <t>Principal Financial Group</t>
  </si>
  <si>
    <t>PG</t>
  </si>
  <si>
    <t>Procter &amp; Gamble</t>
  </si>
  <si>
    <t>PGR</t>
  </si>
  <si>
    <t>Progressive Corporation</t>
  </si>
  <si>
    <t>PLD</t>
  </si>
  <si>
    <t>Prologis</t>
  </si>
  <si>
    <t>PRU</t>
  </si>
  <si>
    <t>Prudential Financial</t>
  </si>
  <si>
    <t>PEG</t>
  </si>
  <si>
    <t>Public Service Enterprise Group</t>
  </si>
  <si>
    <t>PTC</t>
  </si>
  <si>
    <t>PTC Inc.</t>
  </si>
  <si>
    <t>PSA</t>
  </si>
  <si>
    <t>Public Storage</t>
  </si>
  <si>
    <t>PHM</t>
  </si>
  <si>
    <t>PulteGroup</t>
  </si>
  <si>
    <t>QRVO</t>
  </si>
  <si>
    <t>Qorvo</t>
  </si>
  <si>
    <t>PWR</t>
  </si>
  <si>
    <t>Quanta Services</t>
  </si>
  <si>
    <t>QCOM</t>
  </si>
  <si>
    <t>Qualcomm</t>
  </si>
  <si>
    <t>DGX</t>
  </si>
  <si>
    <t>Quest Diagnostics</t>
  </si>
  <si>
    <t>RL</t>
  </si>
  <si>
    <t>Ralph Lauren Corporation</t>
  </si>
  <si>
    <t>RJF</t>
  </si>
  <si>
    <t>Raymond James Financial</t>
  </si>
  <si>
    <t>RTX</t>
  </si>
  <si>
    <t>RTX Corporation</t>
  </si>
  <si>
    <t>O</t>
  </si>
  <si>
    <t>Realty Income</t>
  </si>
  <si>
    <t>REG</t>
  </si>
  <si>
    <t>Regency Centers</t>
  </si>
  <si>
    <t>REGN</t>
  </si>
  <si>
    <t>Regeneron Pharmaceuticals</t>
  </si>
  <si>
    <t>RF</t>
  </si>
  <si>
    <t>Regions Financial Corporation</t>
  </si>
  <si>
    <t>RSG</t>
  </si>
  <si>
    <t>Republic Services</t>
  </si>
  <si>
    <t>RMD</t>
  </si>
  <si>
    <t>ResMed</t>
  </si>
  <si>
    <t>RVTY</t>
  </si>
  <si>
    <t>Revvity</t>
  </si>
  <si>
    <t>ROK</t>
  </si>
  <si>
    <t>Rockwell Automation</t>
  </si>
  <si>
    <t>ROL</t>
  </si>
  <si>
    <t>Rollins, Inc.</t>
  </si>
  <si>
    <t>ROP</t>
  </si>
  <si>
    <t>Roper Technologies</t>
  </si>
  <si>
    <t>ROST</t>
  </si>
  <si>
    <t>Ross Stores</t>
  </si>
  <si>
    <t>RCL</t>
  </si>
  <si>
    <t>Royal Caribbean Group</t>
  </si>
  <si>
    <t>SPGI</t>
  </si>
  <si>
    <t>S&amp;P Global</t>
  </si>
  <si>
    <t>CRM</t>
  </si>
  <si>
    <t>Salesforce</t>
  </si>
  <si>
    <t>SBAC</t>
  </si>
  <si>
    <t>SBA Communications</t>
  </si>
  <si>
    <t>SLB</t>
  </si>
  <si>
    <t>Schlumberger</t>
  </si>
  <si>
    <t>STX</t>
  </si>
  <si>
    <t>Seagate Technology</t>
  </si>
  <si>
    <t>SRE</t>
  </si>
  <si>
    <t>Sempra</t>
  </si>
  <si>
    <t>NOW</t>
  </si>
  <si>
    <t>ServiceNow</t>
  </si>
  <si>
    <t>SHW</t>
  </si>
  <si>
    <t>Sherwin-Williams</t>
  </si>
  <si>
    <t>SPG</t>
  </si>
  <si>
    <t>Simon Property Group</t>
  </si>
  <si>
    <t>SWKS</t>
  </si>
  <si>
    <t>Skyworks Solutions</t>
  </si>
  <si>
    <t>SJM</t>
  </si>
  <si>
    <t>J.M. Smucker Company (The)</t>
  </si>
  <si>
    <t>SW</t>
  </si>
  <si>
    <t>Smurfit WestRock</t>
  </si>
  <si>
    <t>SNA</t>
  </si>
  <si>
    <t>Snap-on</t>
  </si>
  <si>
    <t>SOLV</t>
  </si>
  <si>
    <t>Solventum</t>
  </si>
  <si>
    <t>SO</t>
  </si>
  <si>
    <t>Southern Company</t>
  </si>
  <si>
    <t>LUV</t>
  </si>
  <si>
    <t>Southwest Airlines</t>
  </si>
  <si>
    <t>SWK</t>
  </si>
  <si>
    <t>Stanley Black &amp; Decker</t>
  </si>
  <si>
    <t>SBUX</t>
  </si>
  <si>
    <t>Starbucks</t>
  </si>
  <si>
    <t>STT</t>
  </si>
  <si>
    <t>State Street Corporation</t>
  </si>
  <si>
    <t>STLD</t>
  </si>
  <si>
    <t>Steel Dynamics</t>
  </si>
  <si>
    <t>STE</t>
  </si>
  <si>
    <t>Steris</t>
  </si>
  <si>
    <t>SYK</t>
  </si>
  <si>
    <t>Stryker Corporation</t>
  </si>
  <si>
    <t>SMCI</t>
  </si>
  <si>
    <t>Supermicro</t>
  </si>
  <si>
    <t>SYF</t>
  </si>
  <si>
    <t>Synchrony Financial</t>
  </si>
  <si>
    <t>SNPS</t>
  </si>
  <si>
    <t>Synopsys</t>
  </si>
  <si>
    <t>SYY</t>
  </si>
  <si>
    <t>Sysco</t>
  </si>
  <si>
    <t>TMUS</t>
  </si>
  <si>
    <t>T-Mobile US</t>
  </si>
  <si>
    <t>TROW</t>
  </si>
  <si>
    <t>T. Rowe Price</t>
  </si>
  <si>
    <t>TTWO</t>
  </si>
  <si>
    <t>Take-Two Interactive</t>
  </si>
  <si>
    <t>TPR</t>
  </si>
  <si>
    <t>Tapestry, Inc.</t>
  </si>
  <si>
    <t>TRGP</t>
  </si>
  <si>
    <t>Targa Resources</t>
  </si>
  <si>
    <t>TGT</t>
  </si>
  <si>
    <t>Target Corporation</t>
  </si>
  <si>
    <t>TEL</t>
  </si>
  <si>
    <t>TE Connectivity</t>
  </si>
  <si>
    <t>TDY</t>
  </si>
  <si>
    <t>Teledyne Technologies</t>
  </si>
  <si>
    <t>TFX</t>
  </si>
  <si>
    <t>Teleflex</t>
  </si>
  <si>
    <t>TER</t>
  </si>
  <si>
    <t>Teradyne</t>
  </si>
  <si>
    <t>TSLA</t>
  </si>
  <si>
    <t>Tesla, Inc.</t>
  </si>
  <si>
    <t>TXN</t>
  </si>
  <si>
    <t>Texas Instruments</t>
  </si>
  <si>
    <t>TPL</t>
  </si>
  <si>
    <t>Texas Pacific Land Corporation</t>
  </si>
  <si>
    <t>TXT</t>
  </si>
  <si>
    <t>Textron</t>
  </si>
  <si>
    <t>TMO</t>
  </si>
  <si>
    <t>Thermo Fisher Scientific</t>
  </si>
  <si>
    <t>TJX</t>
  </si>
  <si>
    <t>TJX Companies</t>
  </si>
  <si>
    <t>TSCO</t>
  </si>
  <si>
    <t>Tractor Supply</t>
  </si>
  <si>
    <t>TT</t>
  </si>
  <si>
    <t>Trane Technologies</t>
  </si>
  <si>
    <t>TDG</t>
  </si>
  <si>
    <t>TransDigm Group</t>
  </si>
  <si>
    <t>TRV</t>
  </si>
  <si>
    <t>Travelers Companies (The)</t>
  </si>
  <si>
    <t>TRMB</t>
  </si>
  <si>
    <t>Trimble Inc.</t>
  </si>
  <si>
    <t>TFC</t>
  </si>
  <si>
    <t>Truist Financial</t>
  </si>
  <si>
    <t>TYL</t>
  </si>
  <si>
    <t>Tyler Technologies</t>
  </si>
  <si>
    <t>TSN</t>
  </si>
  <si>
    <t>Tyson Foods</t>
  </si>
  <si>
    <t>USB</t>
  </si>
  <si>
    <t>U.S. Bancorp</t>
  </si>
  <si>
    <t>UBER</t>
  </si>
  <si>
    <t>Uber</t>
  </si>
  <si>
    <t>UDR</t>
  </si>
  <si>
    <t>UDR, Inc.</t>
  </si>
  <si>
    <t>ULTA</t>
  </si>
  <si>
    <t>Ulta Beauty</t>
  </si>
  <si>
    <t>UNP</t>
  </si>
  <si>
    <t>Union Pacific Corporation</t>
  </si>
  <si>
    <t>UAL</t>
  </si>
  <si>
    <t>United Airlines Holdings</t>
  </si>
  <si>
    <t>UPS</t>
  </si>
  <si>
    <t>United Parcel Service</t>
  </si>
  <si>
    <t>URI</t>
  </si>
  <si>
    <t>United Rentals</t>
  </si>
  <si>
    <t>UNH</t>
  </si>
  <si>
    <t>UnitedHealth Group</t>
  </si>
  <si>
    <t>UHS</t>
  </si>
  <si>
    <t>Universal Health Services</t>
  </si>
  <si>
    <t>VLO</t>
  </si>
  <si>
    <t>Valero Energy</t>
  </si>
  <si>
    <t>VTR</t>
  </si>
  <si>
    <t>Ventas</t>
  </si>
  <si>
    <t>VLTO</t>
  </si>
  <si>
    <t>Veralto</t>
  </si>
  <si>
    <t>VRSN</t>
  </si>
  <si>
    <t>Verisign</t>
  </si>
  <si>
    <t>VRSK</t>
  </si>
  <si>
    <t>Verisk Analytics</t>
  </si>
  <si>
    <t>VZ</t>
  </si>
  <si>
    <t>Verizon</t>
  </si>
  <si>
    <t>VRTX</t>
  </si>
  <si>
    <t>Vertex Pharmaceuticals</t>
  </si>
  <si>
    <t>VTRS</t>
  </si>
  <si>
    <t>Viatris</t>
  </si>
  <si>
    <t>VICI</t>
  </si>
  <si>
    <t>Vici Properties</t>
  </si>
  <si>
    <t>V</t>
  </si>
  <si>
    <t>Visa Inc.</t>
  </si>
  <si>
    <t>VST</t>
  </si>
  <si>
    <t>Vistra Corp.</t>
  </si>
  <si>
    <t>VMC</t>
  </si>
  <si>
    <t>Vulcan Materials Company</t>
  </si>
  <si>
    <t>WRB</t>
  </si>
  <si>
    <t>W. R. Berkley Corporation</t>
  </si>
  <si>
    <t>GWW</t>
  </si>
  <si>
    <t>W. W. Grainger</t>
  </si>
  <si>
    <t>WAB</t>
  </si>
  <si>
    <t>Wabtec</t>
  </si>
  <si>
    <t>WBA</t>
  </si>
  <si>
    <t>Walgreens Boots Alliance</t>
  </si>
  <si>
    <t>WMT</t>
  </si>
  <si>
    <t>Walmart</t>
  </si>
  <si>
    <t>DIS</t>
  </si>
  <si>
    <t>Walt Disney Company (The)</t>
  </si>
  <si>
    <t>WBD</t>
  </si>
  <si>
    <t>Warner Bros. Discovery</t>
  </si>
  <si>
    <t>WM</t>
  </si>
  <si>
    <t>Waste Management</t>
  </si>
  <si>
    <t>WAT</t>
  </si>
  <si>
    <t>Waters Corporation</t>
  </si>
  <si>
    <t>WEC</t>
  </si>
  <si>
    <t>WEC Energy Group</t>
  </si>
  <si>
    <t>WFC</t>
  </si>
  <si>
    <t>Wells Fargo</t>
  </si>
  <si>
    <t>WELL</t>
  </si>
  <si>
    <t>Welltower</t>
  </si>
  <si>
    <t>WST</t>
  </si>
  <si>
    <t>West Pharmaceutical Services</t>
  </si>
  <si>
    <t>WDC</t>
  </si>
  <si>
    <t>Western Digital</t>
  </si>
  <si>
    <t>WY</t>
  </si>
  <si>
    <t>Weyerhaeuser</t>
  </si>
  <si>
    <t>WMB</t>
  </si>
  <si>
    <t>Williams Companies</t>
  </si>
  <si>
    <t>WTW</t>
  </si>
  <si>
    <t>Willis Towers Watson</t>
  </si>
  <si>
    <t>WYNN</t>
  </si>
  <si>
    <t>Wynn Resorts</t>
  </si>
  <si>
    <t>XEL</t>
  </si>
  <si>
    <t>Xcel Energy</t>
  </si>
  <si>
    <t>XYL</t>
  </si>
  <si>
    <t>Xylem Inc.</t>
  </si>
  <si>
    <t>YUM</t>
  </si>
  <si>
    <t>Yum! Brands</t>
  </si>
  <si>
    <t>ZBRA</t>
  </si>
  <si>
    <t>Zebra Technologies</t>
  </si>
  <si>
    <t>ZBH</t>
  </si>
  <si>
    <t>Zimmer Biomet</t>
  </si>
  <si>
    <t>ZTS</t>
  </si>
  <si>
    <t>Zoetis</t>
  </si>
  <si>
    <t>COMPANY</t>
  </si>
  <si>
    <t>TICKER</t>
  </si>
  <si>
    <t>Tax Effect Of Unusual Items</t>
  </si>
  <si>
    <t>Tax Rate For Calcs</t>
  </si>
  <si>
    <t>Net Income From Continuing Operation Net Minority Interest</t>
  </si>
  <si>
    <t>Reconciled Depreciation</t>
  </si>
  <si>
    <t>Net Interest Income</t>
  </si>
  <si>
    <t>Interest Expense</t>
  </si>
  <si>
    <t>Interest Income</t>
  </si>
  <si>
    <t>Normalized Income</t>
  </si>
  <si>
    <t>Net Income From Continuing And Discontinued Operation</t>
  </si>
  <si>
    <t>Diluted Average Shares</t>
  </si>
  <si>
    <t>Basic Average Shares</t>
  </si>
  <si>
    <t>Diluted EPS</t>
  </si>
  <si>
    <t>Basic EPS</t>
  </si>
  <si>
    <t>Diluted NI Availto Com Stockholders</t>
  </si>
  <si>
    <t>Net Income Common Stockholders</t>
  </si>
  <si>
    <t>Net Income</t>
  </si>
  <si>
    <t>Net Income Including Noncontrolling Interests</t>
  </si>
  <si>
    <t>Net Income Continuous Operations</t>
  </si>
  <si>
    <t>Tax Provision</t>
  </si>
  <si>
    <t>Pretax Income</t>
  </si>
  <si>
    <t>Selling General And Administration</t>
  </si>
  <si>
    <t>Total Revenue</t>
  </si>
  <si>
    <t>Operating Revenue</t>
  </si>
  <si>
    <t>Treasury Shares Number</t>
  </si>
  <si>
    <t>Ordinary Shares Number</t>
  </si>
  <si>
    <t>Share Issued</t>
  </si>
  <si>
    <t>Total Debt</t>
  </si>
  <si>
    <t>Tangible Book Value</t>
  </si>
  <si>
    <t>Invested Capital</t>
  </si>
  <si>
    <t>Net Tangible Assets</t>
  </si>
  <si>
    <t>Capital Lease Obligations</t>
  </si>
  <si>
    <t>Common Stock Equity</t>
  </si>
  <si>
    <t>Total Capitalization</t>
  </si>
  <si>
    <t>Total Equity Gross Minority Interest</t>
  </si>
  <si>
    <t>Stockholders Equity</t>
  </si>
  <si>
    <t>Gains Losses Not Affecting Retained Earnings</t>
  </si>
  <si>
    <t>Retained Earnings</t>
  </si>
  <si>
    <t>Capital Stock</t>
  </si>
  <si>
    <t>Common Stock</t>
  </si>
  <si>
    <t>Total Liabilities Net Minority Interest</t>
  </si>
  <si>
    <t>Long Term Debt And Capital Lease Obligation</t>
  </si>
  <si>
    <t>Long Term Capital Lease Obligation</t>
  </si>
  <si>
    <t>Long Term Debt</t>
  </si>
  <si>
    <t>Current Debt And Capital Lease Obligation</t>
  </si>
  <si>
    <t>Current Debt</t>
  </si>
  <si>
    <t>Payables And Accrued Expenses</t>
  </si>
  <si>
    <t>Payables</t>
  </si>
  <si>
    <t>Total Tax Payable</t>
  </si>
  <si>
    <t>Accounts Payable</t>
  </si>
  <si>
    <t>Total Assets</t>
  </si>
  <si>
    <t>Net PPE</t>
  </si>
  <si>
    <t>Accumulated Depreciation</t>
  </si>
  <si>
    <t>Gross PPE</t>
  </si>
  <si>
    <t>Other Properties</t>
  </si>
  <si>
    <t>Receivables</t>
  </si>
  <si>
    <t>Accounts Receivable</t>
  </si>
  <si>
    <t>Cash And Cash Equivalents</t>
  </si>
  <si>
    <t>Total Unusual Items</t>
  </si>
  <si>
    <t>Total Unusual Items Excluding Goodwill</t>
  </si>
  <si>
    <t>Special Income Charges</t>
  </si>
  <si>
    <t>Additional Paid In Capital</t>
  </si>
  <si>
    <t>Current Accrued Expenses</t>
  </si>
  <si>
    <t>Goodwill And Other Intangible Assets</t>
  </si>
  <si>
    <t>Other Intangible Assets</t>
  </si>
  <si>
    <t>Goodwill</t>
  </si>
  <si>
    <t>TIME-FRAME</t>
  </si>
  <si>
    <t>Preferred Stock Dividends</t>
  </si>
  <si>
    <t>Other Special Charges</t>
  </si>
  <si>
    <t>Impairment Of Capital Assets</t>
  </si>
  <si>
    <t>Gain On Sale Of Security</t>
  </si>
  <si>
    <t>Depreciation Amortization Depletion Income Statement</t>
  </si>
  <si>
    <t>Depreciation And Amortization In Income Statement</t>
  </si>
  <si>
    <t>Preferred Shares Number</t>
  </si>
  <si>
    <t>Net Debt</t>
  </si>
  <si>
    <t>Treasury Stock</t>
  </si>
  <si>
    <t>Preferred Stock</t>
  </si>
  <si>
    <t>Derivative Product Liabilities</t>
  </si>
  <si>
    <t>Investments And Advances</t>
  </si>
  <si>
    <t>Other Current Borrowings</t>
  </si>
  <si>
    <t>Commercial Paper</t>
  </si>
  <si>
    <t>Income Tax Payable</t>
  </si>
  <si>
    <t>Available For Sale Securities</t>
  </si>
  <si>
    <t>Other Receivables</t>
  </si>
  <si>
    <t>Other Short Term Investments</t>
  </si>
  <si>
    <t>Preferred Securities Outside Stock Equity</t>
  </si>
  <si>
    <t>Employee Benefits</t>
  </si>
  <si>
    <t>Long Term Equity Investment</t>
  </si>
  <si>
    <t>General And Administrative Expense</t>
  </si>
  <si>
    <t>Other Gand A</t>
  </si>
  <si>
    <t>Salaries And Wages</t>
  </si>
  <si>
    <t>Selling And Marketing Expense</t>
  </si>
  <si>
    <t>Occupancy And Equipment</t>
  </si>
  <si>
    <t>Professional Expense And Contract Services Expense</t>
  </si>
  <si>
    <t>Other Non Interest Expense</t>
  </si>
  <si>
    <t>Preferred Stock Equity</t>
  </si>
  <si>
    <t>Other Equity Interest</t>
  </si>
  <si>
    <t>Held To Maturity Securities</t>
  </si>
  <si>
    <t>Trading Securities</t>
  </si>
  <si>
    <t>Cash Cash Equivalents And Federal Funds Sold</t>
  </si>
  <si>
    <t>Date</t>
  </si>
  <si>
    <t>Open</t>
  </si>
  <si>
    <t>High</t>
  </si>
  <si>
    <t>Low</t>
  </si>
  <si>
    <t>Close</t>
  </si>
  <si>
    <t>Volume</t>
  </si>
  <si>
    <t>Dividends</t>
  </si>
  <si>
    <t>Stock Splits</t>
  </si>
  <si>
    <t>EV</t>
  </si>
  <si>
    <t>VOLATILITY</t>
  </si>
  <si>
    <t>BETA</t>
  </si>
  <si>
    <t>HIGHEST RETURN</t>
  </si>
  <si>
    <t>LOWEST RETURN</t>
  </si>
  <si>
    <t>Stock1</t>
  </si>
  <si>
    <t>Stock2</t>
  </si>
  <si>
    <t>Stock3</t>
  </si>
  <si>
    <t>Stock4</t>
  </si>
  <si>
    <t>Stock5</t>
  </si>
  <si>
    <t>Stock6</t>
  </si>
  <si>
    <t>Stock7</t>
  </si>
  <si>
    <t>Stock8</t>
  </si>
  <si>
    <t>Stock9</t>
  </si>
  <si>
    <t>Stock10</t>
  </si>
  <si>
    <t>COMPANY NAME</t>
  </si>
  <si>
    <t>WEIGHT</t>
  </si>
  <si>
    <t>Portfolio Metrics</t>
  </si>
  <si>
    <t>Values</t>
  </si>
  <si>
    <t>Expected Value</t>
  </si>
  <si>
    <t>Volatility</t>
  </si>
  <si>
    <t>Beta</t>
  </si>
  <si>
    <t>Highest return</t>
  </si>
  <si>
    <t>Lowest return</t>
  </si>
  <si>
    <t>Sharp ratio</t>
  </si>
  <si>
    <t>Returns</t>
  </si>
  <si>
    <t>1y</t>
  </si>
  <si>
    <t>Standardized</t>
  </si>
  <si>
    <t>STDEV</t>
  </si>
  <si>
    <t>TOTAL RETURN</t>
  </si>
  <si>
    <t>TOTAL S&amp;P RETURN</t>
  </si>
  <si>
    <t>RF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</si>
</sst>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"/>
    <numFmt numFmtId="165" formatCode="0.0000"/>
  </numFmts>
  <fonts count="1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theme="2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28"/>
      <color rgb="FF000000"/>
      <name val="Garamond"/>
      <family val="1"/>
    </font>
    <font>
      <sz val="16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6"/>
      <color rgb="FF00000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9">
    <xf numFmtId="0" fontId="0" fillId="0" borderId="0" xfId="0"/>
    <xf numFmtId="14" fontId="0" fillId="0" borderId="0" xfId="0" applyNumberFormat="1"/>
    <xf numFmtId="3" fontId="0" fillId="0" borderId="0" xfId="0" applyNumberFormat="1"/>
    <xf numFmtId="0" fontId="1" fillId="2" borderId="1" xfId="0" applyFont="1" applyFill="1" applyBorder="1"/>
    <xf numFmtId="0" fontId="1" fillId="2" borderId="3" xfId="0" applyFont="1" applyFill="1" applyBorder="1"/>
    <xf numFmtId="0" fontId="1" fillId="2" borderId="5" xfId="0" applyFont="1" applyFill="1" applyBorder="1"/>
    <xf numFmtId="0" fontId="1" fillId="4" borderId="3" xfId="0" applyFont="1" applyFill="1" applyBorder="1"/>
    <xf numFmtId="0" fontId="2" fillId="5" borderId="2" xfId="0" applyFont="1" applyFill="1" applyBorder="1"/>
    <xf numFmtId="0" fontId="2" fillId="6" borderId="4" xfId="0" applyFont="1" applyFill="1" applyBorder="1"/>
    <xf numFmtId="0" fontId="2" fillId="5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2" borderId="9" xfId="0" applyFont="1" applyFill="1" applyBorder="1"/>
    <xf numFmtId="0" fontId="1" fillId="3" borderId="1" xfId="0" applyFont="1" applyFill="1" applyBorder="1"/>
    <xf numFmtId="0" fontId="1" fillId="3" borderId="3" xfId="0" applyFont="1" applyFill="1" applyBorder="1"/>
    <xf numFmtId="0" fontId="4" fillId="7" borderId="10" xfId="0" applyFont="1" applyFill="1" applyBorder="1"/>
    <xf numFmtId="0" fontId="4" fillId="7" borderId="11" xfId="0" applyFont="1" applyFill="1" applyBorder="1"/>
    <xf numFmtId="0" fontId="2" fillId="3" borderId="12" xfId="0" applyFont="1" applyFill="1" applyBorder="1"/>
    <xf numFmtId="0" fontId="2" fillId="2" borderId="13" xfId="0" applyFont="1" applyFill="1" applyBorder="1"/>
    <xf numFmtId="0" fontId="2" fillId="3" borderId="13" xfId="0" applyFont="1" applyFill="1" applyBorder="1"/>
    <xf numFmtId="0" fontId="2" fillId="2" borderId="14" xfId="0" applyFont="1" applyFill="1" applyBorder="1"/>
    <xf numFmtId="0" fontId="1" fillId="3" borderId="7" xfId="0" applyFont="1" applyFill="1" applyBorder="1"/>
    <xf numFmtId="0" fontId="1" fillId="3" borderId="8" xfId="0" applyFont="1" applyFill="1" applyBorder="1"/>
    <xf numFmtId="0" fontId="0" fillId="8" borderId="0" xfId="0" applyFill="1"/>
    <xf numFmtId="2" fontId="0" fillId="3" borderId="2" xfId="0" applyNumberFormat="1" applyFill="1" applyBorder="1"/>
    <xf numFmtId="2" fontId="0" fillId="2" borderId="4" xfId="0" applyNumberFormat="1" applyFill="1" applyBorder="1"/>
    <xf numFmtId="2" fontId="0" fillId="3" borderId="4" xfId="0" applyNumberFormat="1" applyFill="1" applyBorder="1"/>
    <xf numFmtId="2" fontId="0" fillId="2" borderId="6" xfId="0" applyNumberFormat="1" applyFill="1" applyBorder="1"/>
    <xf numFmtId="11" fontId="0" fillId="0" borderId="0" xfId="0" applyNumberFormat="1"/>
    <xf numFmtId="2" fontId="0" fillId="0" borderId="0" xfId="0" applyNumberFormat="1"/>
    <xf numFmtId="0" fontId="1" fillId="2" borderId="15" xfId="0" applyFont="1" applyFill="1" applyBorder="1"/>
    <xf numFmtId="0" fontId="0" fillId="0" borderId="0" xfId="0" applyAlignment="1">
      <alignment vertical="center"/>
    </xf>
    <xf numFmtId="0" fontId="9" fillId="5" borderId="10" xfId="0" applyFont="1" applyFill="1" applyBorder="1" applyAlignment="1">
      <alignment horizontal="center"/>
    </xf>
    <xf numFmtId="0" fontId="10" fillId="7" borderId="1" xfId="0" applyFont="1" applyFill="1" applyBorder="1"/>
    <xf numFmtId="10" fontId="0" fillId="5" borderId="2" xfId="0" applyNumberFormat="1" applyFill="1" applyBorder="1"/>
    <xf numFmtId="0" fontId="10" fillId="7" borderId="5" xfId="0" applyFont="1" applyFill="1" applyBorder="1"/>
    <xf numFmtId="10" fontId="0" fillId="9" borderId="6" xfId="1" applyNumberFormat="1" applyFont="1" applyFill="1" applyBorder="1"/>
    <xf numFmtId="0" fontId="10" fillId="7" borderId="15" xfId="0" applyFont="1" applyFill="1" applyBorder="1"/>
    <xf numFmtId="0" fontId="0" fillId="8" borderId="10" xfId="0" applyFill="1" applyBorder="1"/>
    <xf numFmtId="164" fontId="0" fillId="8" borderId="4" xfId="0" applyNumberFormat="1" applyFill="1" applyBorder="1"/>
    <xf numFmtId="164" fontId="0" fillId="8" borderId="2" xfId="0" applyNumberFormat="1" applyFill="1" applyBorder="1"/>
    <xf numFmtId="164" fontId="0" fillId="5" borderId="4" xfId="0" applyNumberFormat="1" applyFill="1" applyBorder="1"/>
    <xf numFmtId="164" fontId="0" fillId="9" borderId="6" xfId="0" applyNumberFormat="1" applyFill="1" applyBorder="1"/>
    <xf numFmtId="2" fontId="0" fillId="5" borderId="2" xfId="0" applyNumberFormat="1" applyFill="1" applyBorder="1"/>
    <xf numFmtId="165" fontId="0" fillId="5" borderId="4" xfId="0" applyNumberFormat="1" applyFill="1" applyBorder="1"/>
    <xf numFmtId="2" fontId="0" fillId="5" borderId="4" xfId="0" applyNumberFormat="1" applyFill="1" applyBorder="1"/>
    <xf numFmtId="165" fontId="0" fillId="5" borderId="6" xfId="0" applyNumberFormat="1" applyFill="1" applyBorder="1"/>
    <xf numFmtId="0" fontId="0" fillId="10" borderId="0" xfId="0" applyFill="1"/>
    <xf numFmtId="0" fontId="5" fillId="10" borderId="0" xfId="0" applyFont="1" applyFill="1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7" fillId="7" borderId="7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7" borderId="6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  <a:r>
              <a:rPr lang="en-US" baseline="0"/>
              <a:t> History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'PRICE DATA'!$F$1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'PRICE DATA'!$A$2:$A$252</c:f>
              <c:numCache>
                <c:formatCode>m/d/yyyy</c:formatCode>
                <c:ptCount val="251"/>
                <c:pt idx="0">
                  <c:v>45296</c:v>
                </c:pt>
                <c:pt idx="1">
                  <c:v>45299</c:v>
                </c:pt>
                <c:pt idx="2">
                  <c:v>45300</c:v>
                </c:pt>
                <c:pt idx="3">
                  <c:v>45301</c:v>
                </c:pt>
                <c:pt idx="4">
                  <c:v>45302</c:v>
                </c:pt>
                <c:pt idx="5">
                  <c:v>45303</c:v>
                </c:pt>
                <c:pt idx="6">
                  <c:v>45307</c:v>
                </c:pt>
                <c:pt idx="7">
                  <c:v>45308</c:v>
                </c:pt>
                <c:pt idx="8">
                  <c:v>45309</c:v>
                </c:pt>
                <c:pt idx="9">
                  <c:v>45310</c:v>
                </c:pt>
                <c:pt idx="10">
                  <c:v>45313</c:v>
                </c:pt>
                <c:pt idx="11">
                  <c:v>45314</c:v>
                </c:pt>
                <c:pt idx="12">
                  <c:v>45315</c:v>
                </c:pt>
                <c:pt idx="13">
                  <c:v>45316</c:v>
                </c:pt>
                <c:pt idx="14">
                  <c:v>45317</c:v>
                </c:pt>
                <c:pt idx="15">
                  <c:v>45320</c:v>
                </c:pt>
                <c:pt idx="16">
                  <c:v>45321</c:v>
                </c:pt>
                <c:pt idx="17">
                  <c:v>45322</c:v>
                </c:pt>
                <c:pt idx="18">
                  <c:v>45323</c:v>
                </c:pt>
                <c:pt idx="19">
                  <c:v>45324</c:v>
                </c:pt>
                <c:pt idx="20">
                  <c:v>45327</c:v>
                </c:pt>
                <c:pt idx="21">
                  <c:v>45328</c:v>
                </c:pt>
                <c:pt idx="22">
                  <c:v>45329</c:v>
                </c:pt>
                <c:pt idx="23">
                  <c:v>45330</c:v>
                </c:pt>
                <c:pt idx="24">
                  <c:v>45331</c:v>
                </c:pt>
                <c:pt idx="25">
                  <c:v>45334</c:v>
                </c:pt>
                <c:pt idx="26">
                  <c:v>45335</c:v>
                </c:pt>
                <c:pt idx="27">
                  <c:v>45336</c:v>
                </c:pt>
                <c:pt idx="28">
                  <c:v>45337</c:v>
                </c:pt>
                <c:pt idx="29">
                  <c:v>45338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45383</c:v>
                </c:pt>
                <c:pt idx="59">
                  <c:v>45384</c:v>
                </c:pt>
                <c:pt idx="60">
                  <c:v>45385</c:v>
                </c:pt>
                <c:pt idx="61">
                  <c:v>45386</c:v>
                </c:pt>
                <c:pt idx="62">
                  <c:v>45387</c:v>
                </c:pt>
                <c:pt idx="63">
                  <c:v>45390</c:v>
                </c:pt>
                <c:pt idx="64">
                  <c:v>45391</c:v>
                </c:pt>
                <c:pt idx="65">
                  <c:v>45392</c:v>
                </c:pt>
                <c:pt idx="66">
                  <c:v>45393</c:v>
                </c:pt>
                <c:pt idx="67">
                  <c:v>45394</c:v>
                </c:pt>
                <c:pt idx="68">
                  <c:v>45397</c:v>
                </c:pt>
                <c:pt idx="69">
                  <c:v>45398</c:v>
                </c:pt>
                <c:pt idx="70">
                  <c:v>45399</c:v>
                </c:pt>
                <c:pt idx="71">
                  <c:v>45400</c:v>
                </c:pt>
                <c:pt idx="72">
                  <c:v>45401</c:v>
                </c:pt>
                <c:pt idx="73">
                  <c:v>45404</c:v>
                </c:pt>
                <c:pt idx="74">
                  <c:v>45405</c:v>
                </c:pt>
                <c:pt idx="75">
                  <c:v>45406</c:v>
                </c:pt>
                <c:pt idx="76">
                  <c:v>45407</c:v>
                </c:pt>
                <c:pt idx="77">
                  <c:v>45408</c:v>
                </c:pt>
                <c:pt idx="78">
                  <c:v>45411</c:v>
                </c:pt>
                <c:pt idx="79">
                  <c:v>45412</c:v>
                </c:pt>
                <c:pt idx="80">
                  <c:v>45413</c:v>
                </c:pt>
                <c:pt idx="81">
                  <c:v>45414</c:v>
                </c:pt>
                <c:pt idx="82">
                  <c:v>45415</c:v>
                </c:pt>
                <c:pt idx="83">
                  <c:v>45418</c:v>
                </c:pt>
                <c:pt idx="84">
                  <c:v>45419</c:v>
                </c:pt>
                <c:pt idx="85">
                  <c:v>45420</c:v>
                </c:pt>
                <c:pt idx="86">
                  <c:v>45421</c:v>
                </c:pt>
                <c:pt idx="87">
                  <c:v>45422</c:v>
                </c:pt>
                <c:pt idx="88">
                  <c:v>45425</c:v>
                </c:pt>
                <c:pt idx="89">
                  <c:v>45426</c:v>
                </c:pt>
                <c:pt idx="90">
                  <c:v>45427</c:v>
                </c:pt>
                <c:pt idx="91">
                  <c:v>45428</c:v>
                </c:pt>
                <c:pt idx="92">
                  <c:v>45429</c:v>
                </c:pt>
                <c:pt idx="93">
                  <c:v>45432</c:v>
                </c:pt>
                <c:pt idx="94">
                  <c:v>45433</c:v>
                </c:pt>
                <c:pt idx="95">
                  <c:v>45434</c:v>
                </c:pt>
                <c:pt idx="96">
                  <c:v>45435</c:v>
                </c:pt>
                <c:pt idx="97">
                  <c:v>45436</c:v>
                </c:pt>
                <c:pt idx="98">
                  <c:v>45440</c:v>
                </c:pt>
                <c:pt idx="99">
                  <c:v>45441</c:v>
                </c:pt>
                <c:pt idx="100">
                  <c:v>45442</c:v>
                </c:pt>
                <c:pt idx="101">
                  <c:v>45443</c:v>
                </c:pt>
                <c:pt idx="102">
                  <c:v>45446</c:v>
                </c:pt>
                <c:pt idx="103">
                  <c:v>45447</c:v>
                </c:pt>
                <c:pt idx="104">
                  <c:v>45448</c:v>
                </c:pt>
                <c:pt idx="105">
                  <c:v>45449</c:v>
                </c:pt>
                <c:pt idx="106">
                  <c:v>45450</c:v>
                </c:pt>
                <c:pt idx="107">
                  <c:v>45453</c:v>
                </c:pt>
                <c:pt idx="108">
                  <c:v>45454</c:v>
                </c:pt>
                <c:pt idx="109">
                  <c:v>45455</c:v>
                </c:pt>
                <c:pt idx="110">
                  <c:v>45456</c:v>
                </c:pt>
                <c:pt idx="111">
                  <c:v>45457</c:v>
                </c:pt>
                <c:pt idx="112">
                  <c:v>45460</c:v>
                </c:pt>
                <c:pt idx="113">
                  <c:v>45461</c:v>
                </c:pt>
                <c:pt idx="114">
                  <c:v>45463</c:v>
                </c:pt>
                <c:pt idx="115">
                  <c:v>45464</c:v>
                </c:pt>
                <c:pt idx="116">
                  <c:v>45467</c:v>
                </c:pt>
                <c:pt idx="117">
                  <c:v>45468</c:v>
                </c:pt>
                <c:pt idx="118">
                  <c:v>45469</c:v>
                </c:pt>
                <c:pt idx="119">
                  <c:v>45470</c:v>
                </c:pt>
                <c:pt idx="120">
                  <c:v>45471</c:v>
                </c:pt>
                <c:pt idx="121">
                  <c:v>45474</c:v>
                </c:pt>
                <c:pt idx="122">
                  <c:v>45475</c:v>
                </c:pt>
                <c:pt idx="123">
                  <c:v>45476</c:v>
                </c:pt>
                <c:pt idx="124">
                  <c:v>45478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45488</c:v>
                </c:pt>
                <c:pt idx="131">
                  <c:v>45489</c:v>
                </c:pt>
                <c:pt idx="132">
                  <c:v>45490</c:v>
                </c:pt>
                <c:pt idx="133">
                  <c:v>45491</c:v>
                </c:pt>
                <c:pt idx="134">
                  <c:v>45492</c:v>
                </c:pt>
                <c:pt idx="135">
                  <c:v>45495</c:v>
                </c:pt>
                <c:pt idx="136">
                  <c:v>45496</c:v>
                </c:pt>
                <c:pt idx="137">
                  <c:v>45497</c:v>
                </c:pt>
                <c:pt idx="138">
                  <c:v>45498</c:v>
                </c:pt>
                <c:pt idx="139">
                  <c:v>45499</c:v>
                </c:pt>
                <c:pt idx="140">
                  <c:v>45502</c:v>
                </c:pt>
                <c:pt idx="141">
                  <c:v>45503</c:v>
                </c:pt>
                <c:pt idx="142">
                  <c:v>45504</c:v>
                </c:pt>
                <c:pt idx="143">
                  <c:v>45505</c:v>
                </c:pt>
                <c:pt idx="144">
                  <c:v>45506</c:v>
                </c:pt>
                <c:pt idx="145">
                  <c:v>45509</c:v>
                </c:pt>
                <c:pt idx="146">
                  <c:v>45510</c:v>
                </c:pt>
                <c:pt idx="147">
                  <c:v>45511</c:v>
                </c:pt>
                <c:pt idx="148">
                  <c:v>45512</c:v>
                </c:pt>
                <c:pt idx="149">
                  <c:v>45513</c:v>
                </c:pt>
                <c:pt idx="150">
                  <c:v>45516</c:v>
                </c:pt>
                <c:pt idx="151">
                  <c:v>45517</c:v>
                </c:pt>
                <c:pt idx="152">
                  <c:v>45518</c:v>
                </c:pt>
                <c:pt idx="153">
                  <c:v>45519</c:v>
                </c:pt>
                <c:pt idx="154">
                  <c:v>45520</c:v>
                </c:pt>
                <c:pt idx="155">
                  <c:v>45523</c:v>
                </c:pt>
                <c:pt idx="156">
                  <c:v>45524</c:v>
                </c:pt>
                <c:pt idx="157">
                  <c:v>45525</c:v>
                </c:pt>
                <c:pt idx="158">
                  <c:v>45526</c:v>
                </c:pt>
                <c:pt idx="159">
                  <c:v>45527</c:v>
                </c:pt>
                <c:pt idx="160">
                  <c:v>45530</c:v>
                </c:pt>
                <c:pt idx="161">
                  <c:v>45531</c:v>
                </c:pt>
                <c:pt idx="162">
                  <c:v>45532</c:v>
                </c:pt>
                <c:pt idx="163">
                  <c:v>45533</c:v>
                </c:pt>
                <c:pt idx="164">
                  <c:v>45534</c:v>
                </c:pt>
                <c:pt idx="165">
                  <c:v>45538</c:v>
                </c:pt>
                <c:pt idx="166">
                  <c:v>45539</c:v>
                </c:pt>
                <c:pt idx="167">
                  <c:v>45540</c:v>
                </c:pt>
                <c:pt idx="168">
                  <c:v>45541</c:v>
                </c:pt>
                <c:pt idx="169">
                  <c:v>45544</c:v>
                </c:pt>
                <c:pt idx="170">
                  <c:v>45545</c:v>
                </c:pt>
                <c:pt idx="171">
                  <c:v>45546</c:v>
                </c:pt>
                <c:pt idx="172">
                  <c:v>45547</c:v>
                </c:pt>
                <c:pt idx="173">
                  <c:v>45548</c:v>
                </c:pt>
                <c:pt idx="174">
                  <c:v>45551</c:v>
                </c:pt>
                <c:pt idx="175">
                  <c:v>45552</c:v>
                </c:pt>
                <c:pt idx="176">
                  <c:v>45553</c:v>
                </c:pt>
                <c:pt idx="177">
                  <c:v>45554</c:v>
                </c:pt>
                <c:pt idx="178">
                  <c:v>45555</c:v>
                </c:pt>
                <c:pt idx="179">
                  <c:v>45558</c:v>
                </c:pt>
                <c:pt idx="180">
                  <c:v>45559</c:v>
                </c:pt>
                <c:pt idx="181">
                  <c:v>45560</c:v>
                </c:pt>
                <c:pt idx="182">
                  <c:v>45561</c:v>
                </c:pt>
                <c:pt idx="183">
                  <c:v>45562</c:v>
                </c:pt>
                <c:pt idx="184">
                  <c:v>45565</c:v>
                </c:pt>
                <c:pt idx="185">
                  <c:v>45566</c:v>
                </c:pt>
                <c:pt idx="186">
                  <c:v>45567</c:v>
                </c:pt>
                <c:pt idx="187">
                  <c:v>45568</c:v>
                </c:pt>
                <c:pt idx="188">
                  <c:v>45569</c:v>
                </c:pt>
                <c:pt idx="189">
                  <c:v>45572</c:v>
                </c:pt>
                <c:pt idx="190">
                  <c:v>45573</c:v>
                </c:pt>
                <c:pt idx="191">
                  <c:v>45574</c:v>
                </c:pt>
                <c:pt idx="192">
                  <c:v>45575</c:v>
                </c:pt>
                <c:pt idx="193">
                  <c:v>45576</c:v>
                </c:pt>
                <c:pt idx="194">
                  <c:v>45579</c:v>
                </c:pt>
                <c:pt idx="195">
                  <c:v>45580</c:v>
                </c:pt>
                <c:pt idx="196">
                  <c:v>45581</c:v>
                </c:pt>
                <c:pt idx="197">
                  <c:v>45582</c:v>
                </c:pt>
                <c:pt idx="198">
                  <c:v>45583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45593</c:v>
                </c:pt>
                <c:pt idx="205">
                  <c:v>45594</c:v>
                </c:pt>
                <c:pt idx="206">
                  <c:v>45595</c:v>
                </c:pt>
                <c:pt idx="207">
                  <c:v>45596</c:v>
                </c:pt>
                <c:pt idx="208">
                  <c:v>45597</c:v>
                </c:pt>
                <c:pt idx="209">
                  <c:v>45600</c:v>
                </c:pt>
                <c:pt idx="210">
                  <c:v>45601</c:v>
                </c:pt>
                <c:pt idx="211">
                  <c:v>45602</c:v>
                </c:pt>
                <c:pt idx="212">
                  <c:v>45603</c:v>
                </c:pt>
                <c:pt idx="213">
                  <c:v>45604</c:v>
                </c:pt>
                <c:pt idx="214">
                  <c:v>45607</c:v>
                </c:pt>
                <c:pt idx="215">
                  <c:v>45608</c:v>
                </c:pt>
                <c:pt idx="216">
                  <c:v>45609</c:v>
                </c:pt>
                <c:pt idx="217">
                  <c:v>45610</c:v>
                </c:pt>
                <c:pt idx="218">
                  <c:v>45611</c:v>
                </c:pt>
                <c:pt idx="219">
                  <c:v>45614</c:v>
                </c:pt>
                <c:pt idx="220">
                  <c:v>45615</c:v>
                </c:pt>
                <c:pt idx="221">
                  <c:v>45616</c:v>
                </c:pt>
                <c:pt idx="222">
                  <c:v>45617</c:v>
                </c:pt>
                <c:pt idx="223">
                  <c:v>45618</c:v>
                </c:pt>
                <c:pt idx="224">
                  <c:v>45621</c:v>
                </c:pt>
                <c:pt idx="225">
                  <c:v>45622</c:v>
                </c:pt>
                <c:pt idx="226">
                  <c:v>45623</c:v>
                </c:pt>
                <c:pt idx="227">
                  <c:v>45625</c:v>
                </c:pt>
                <c:pt idx="228">
                  <c:v>45628</c:v>
                </c:pt>
                <c:pt idx="229">
                  <c:v>45629</c:v>
                </c:pt>
                <c:pt idx="230">
                  <c:v>45630</c:v>
                </c:pt>
                <c:pt idx="231">
                  <c:v>45631</c:v>
                </c:pt>
                <c:pt idx="232">
                  <c:v>45632</c:v>
                </c:pt>
                <c:pt idx="233">
                  <c:v>45635</c:v>
                </c:pt>
                <c:pt idx="234">
                  <c:v>45636</c:v>
                </c:pt>
                <c:pt idx="235">
                  <c:v>45637</c:v>
                </c:pt>
                <c:pt idx="236">
                  <c:v>45638</c:v>
                </c:pt>
                <c:pt idx="237">
                  <c:v>45639</c:v>
                </c:pt>
                <c:pt idx="238">
                  <c:v>45642</c:v>
                </c:pt>
                <c:pt idx="239">
                  <c:v>45643</c:v>
                </c:pt>
                <c:pt idx="240">
                  <c:v>45644</c:v>
                </c:pt>
                <c:pt idx="241">
                  <c:v>45645</c:v>
                </c:pt>
                <c:pt idx="242">
                  <c:v>45646</c:v>
                </c:pt>
                <c:pt idx="243">
                  <c:v>45649</c:v>
                </c:pt>
                <c:pt idx="244">
                  <c:v>45650</c:v>
                </c:pt>
                <c:pt idx="245">
                  <c:v>45652</c:v>
                </c:pt>
                <c:pt idx="246">
                  <c:v>45653</c:v>
                </c:pt>
                <c:pt idx="247">
                  <c:v>45656</c:v>
                </c:pt>
                <c:pt idx="248">
                  <c:v>45657</c:v>
                </c:pt>
                <c:pt idx="249">
                  <c:v>45659</c:v>
                </c:pt>
                <c:pt idx="250">
                  <c:v>45660</c:v>
                </c:pt>
              </c:numCache>
            </c:numRef>
          </c:cat>
          <c:val>
            <c:numRef>
              <c:f>'PRICE DATA'!$F$2:$F$252</c:f>
              <c:numCache>
                <c:formatCode>General</c:formatCode>
                <c:ptCount val="251"/>
                <c:pt idx="0">
                  <c:v>379.16940307617102</c:v>
                </c:pt>
                <c:pt idx="1">
                  <c:v>381.54388427734301</c:v>
                </c:pt>
                <c:pt idx="2">
                  <c:v>376.52020263671801</c:v>
                </c:pt>
                <c:pt idx="3">
                  <c:v>374.773681640625</c:v>
                </c:pt>
                <c:pt idx="4">
                  <c:v>372.60528564453102</c:v>
                </c:pt>
                <c:pt idx="5">
                  <c:v>370.64288330078102</c:v>
                </c:pt>
                <c:pt idx="6">
                  <c:v>373.29211425781199</c:v>
                </c:pt>
                <c:pt idx="7">
                  <c:v>370.08361816406199</c:v>
                </c:pt>
                <c:pt idx="8">
                  <c:v>369.81872558593699</c:v>
                </c:pt>
                <c:pt idx="9">
                  <c:v>375.009185791015</c:v>
                </c:pt>
                <c:pt idx="10">
                  <c:v>378.69842529296801</c:v>
                </c:pt>
                <c:pt idx="11">
                  <c:v>373.60607910156199</c:v>
                </c:pt>
                <c:pt idx="12">
                  <c:v>372.26184082031199</c:v>
                </c:pt>
                <c:pt idx="13">
                  <c:v>375.49978637695301</c:v>
                </c:pt>
                <c:pt idx="14">
                  <c:v>370.68215942382801</c:v>
                </c:pt>
                <c:pt idx="15">
                  <c:v>373.40002441406199</c:v>
                </c:pt>
                <c:pt idx="16">
                  <c:v>379.59130859375</c:v>
                </c:pt>
                <c:pt idx="17">
                  <c:v>376.78512573242102</c:v>
                </c:pt>
                <c:pt idx="18">
                  <c:v>376.62814331054602</c:v>
                </c:pt>
                <c:pt idx="19">
                  <c:v>380.56268310546801</c:v>
                </c:pt>
                <c:pt idx="20">
                  <c:v>375.813720703125</c:v>
                </c:pt>
                <c:pt idx="21">
                  <c:v>377.74670410156199</c:v>
                </c:pt>
                <c:pt idx="22">
                  <c:v>379.38528442382801</c:v>
                </c:pt>
                <c:pt idx="23">
                  <c:v>377.79574584960898</c:v>
                </c:pt>
                <c:pt idx="24">
                  <c:v>377.03042602539</c:v>
                </c:pt>
                <c:pt idx="25">
                  <c:v>385.25274658203102</c:v>
                </c:pt>
                <c:pt idx="26">
                  <c:v>371.62408447265602</c:v>
                </c:pt>
                <c:pt idx="27">
                  <c:v>370.92745971679602</c:v>
                </c:pt>
                <c:pt idx="28">
                  <c:v>378.16860961914</c:v>
                </c:pt>
                <c:pt idx="29">
                  <c:v>377.20706176757801</c:v>
                </c:pt>
                <c:pt idx="30">
                  <c:v>377.28552246093699</c:v>
                </c:pt>
                <c:pt idx="31">
                  <c:v>380.96499633789</c:v>
                </c:pt>
                <c:pt idx="32">
                  <c:v>383.12359619140602</c:v>
                </c:pt>
                <c:pt idx="33">
                  <c:v>383.69268798828102</c:v>
                </c:pt>
                <c:pt idx="34">
                  <c:v>382.87829589843699</c:v>
                </c:pt>
                <c:pt idx="35">
                  <c:v>383.45718383789</c:v>
                </c:pt>
                <c:pt idx="36">
                  <c:v>388.51644897460898</c:v>
                </c:pt>
                <c:pt idx="37">
                  <c:v>384.43542480468699</c:v>
                </c:pt>
                <c:pt idx="38">
                  <c:v>383.49673461914</c:v>
                </c:pt>
                <c:pt idx="39">
                  <c:v>387.59750366210898</c:v>
                </c:pt>
                <c:pt idx="40">
                  <c:v>386.27340698242102</c:v>
                </c:pt>
                <c:pt idx="41">
                  <c:v>384.94927978515602</c:v>
                </c:pt>
                <c:pt idx="42">
                  <c:v>383.82281494140602</c:v>
                </c:pt>
                <c:pt idx="43">
                  <c:v>382.39987182617102</c:v>
                </c:pt>
                <c:pt idx="44">
                  <c:v>381.57974243164</c:v>
                </c:pt>
                <c:pt idx="45">
                  <c:v>383.57577514648398</c:v>
                </c:pt>
                <c:pt idx="46">
                  <c:v>387.65679931640602</c:v>
                </c:pt>
                <c:pt idx="47">
                  <c:v>384.00067138671801</c:v>
                </c:pt>
                <c:pt idx="48">
                  <c:v>382.61727905273398</c:v>
                </c:pt>
                <c:pt idx="49">
                  <c:v>379.810943603515</c:v>
                </c:pt>
                <c:pt idx="50">
                  <c:v>384.05007934570301</c:v>
                </c:pt>
                <c:pt idx="51">
                  <c:v>391.76742553710898</c:v>
                </c:pt>
                <c:pt idx="52">
                  <c:v>408.80294799804602</c:v>
                </c:pt>
                <c:pt idx="53">
                  <c:v>401.99468994140602</c:v>
                </c:pt>
                <c:pt idx="54">
                  <c:v>400.13699340820301</c:v>
                </c:pt>
                <c:pt idx="55">
                  <c:v>401.36227416992102</c:v>
                </c:pt>
                <c:pt idx="56">
                  <c:v>410.32470703125</c:v>
                </c:pt>
                <c:pt idx="57">
                  <c:v>412.735748291015</c:v>
                </c:pt>
                <c:pt idx="58">
                  <c:v>408.60531616210898</c:v>
                </c:pt>
                <c:pt idx="59">
                  <c:v>405.28518676757801</c:v>
                </c:pt>
                <c:pt idx="60">
                  <c:v>409.08950805664</c:v>
                </c:pt>
                <c:pt idx="61">
                  <c:v>401.43145751953102</c:v>
                </c:pt>
                <c:pt idx="62">
                  <c:v>403.22985839843699</c:v>
                </c:pt>
                <c:pt idx="63">
                  <c:v>405.67056274414</c:v>
                </c:pt>
                <c:pt idx="64">
                  <c:v>405.83853149414</c:v>
                </c:pt>
                <c:pt idx="65">
                  <c:v>396.006591796875</c:v>
                </c:pt>
                <c:pt idx="66">
                  <c:v>392.76550292968699</c:v>
                </c:pt>
                <c:pt idx="67">
                  <c:v>384.87020874023398</c:v>
                </c:pt>
                <c:pt idx="68">
                  <c:v>396.12512207031199</c:v>
                </c:pt>
                <c:pt idx="69">
                  <c:v>392.15280151367102</c:v>
                </c:pt>
                <c:pt idx="70">
                  <c:v>399.11923217773398</c:v>
                </c:pt>
                <c:pt idx="71">
                  <c:v>398.32867431640602</c:v>
                </c:pt>
                <c:pt idx="72">
                  <c:v>399.20812988281199</c:v>
                </c:pt>
                <c:pt idx="73">
                  <c:v>412.39978027343699</c:v>
                </c:pt>
                <c:pt idx="74">
                  <c:v>418.97091674804602</c:v>
                </c:pt>
                <c:pt idx="75">
                  <c:v>418.02230834960898</c:v>
                </c:pt>
                <c:pt idx="76">
                  <c:v>415.06774902343699</c:v>
                </c:pt>
                <c:pt idx="77">
                  <c:v>422.49856567382801</c:v>
                </c:pt>
                <c:pt idx="78">
                  <c:v>425.70016479492102</c:v>
                </c:pt>
                <c:pt idx="79">
                  <c:v>421.64877319335898</c:v>
                </c:pt>
                <c:pt idx="80">
                  <c:v>421.88592529296801</c:v>
                </c:pt>
                <c:pt idx="81">
                  <c:v>427.43927001953102</c:v>
                </c:pt>
                <c:pt idx="82">
                  <c:v>432.98269653320301</c:v>
                </c:pt>
                <c:pt idx="83">
                  <c:v>438.407623291015</c:v>
                </c:pt>
                <c:pt idx="84">
                  <c:v>438.536041259765</c:v>
                </c:pt>
                <c:pt idx="85">
                  <c:v>441.64871215820301</c:v>
                </c:pt>
                <c:pt idx="86">
                  <c:v>450.15658569335898</c:v>
                </c:pt>
                <c:pt idx="87">
                  <c:v>449.33642578125</c:v>
                </c:pt>
                <c:pt idx="88">
                  <c:v>448.18029785156199</c:v>
                </c:pt>
                <c:pt idx="89">
                  <c:v>453.03207397460898</c:v>
                </c:pt>
                <c:pt idx="90">
                  <c:v>460.56170654296801</c:v>
                </c:pt>
                <c:pt idx="91">
                  <c:v>459.01028442382801</c:v>
                </c:pt>
                <c:pt idx="92">
                  <c:v>462.17233276367102</c:v>
                </c:pt>
                <c:pt idx="93">
                  <c:v>457.44906616210898</c:v>
                </c:pt>
                <c:pt idx="94">
                  <c:v>464.83044433593699</c:v>
                </c:pt>
                <c:pt idx="95">
                  <c:v>456.89569091796801</c:v>
                </c:pt>
                <c:pt idx="96">
                  <c:v>452.71585083007801</c:v>
                </c:pt>
                <c:pt idx="97">
                  <c:v>455.70993041992102</c:v>
                </c:pt>
                <c:pt idx="98">
                  <c:v>454.35617065429602</c:v>
                </c:pt>
                <c:pt idx="99">
                  <c:v>451.74749755859301</c:v>
                </c:pt>
                <c:pt idx="100">
                  <c:v>447.58212280273398</c:v>
                </c:pt>
                <c:pt idx="101">
                  <c:v>453.83511352539</c:v>
                </c:pt>
                <c:pt idx="102">
                  <c:v>452.30419921875</c:v>
                </c:pt>
                <c:pt idx="103">
                  <c:v>452.62228393554602</c:v>
                </c:pt>
                <c:pt idx="104">
                  <c:v>458.964752197265</c:v>
                </c:pt>
                <c:pt idx="105">
                  <c:v>455.40582275390602</c:v>
                </c:pt>
                <c:pt idx="106">
                  <c:v>452.23458862304602</c:v>
                </c:pt>
                <c:pt idx="107">
                  <c:v>450.882568359375</c:v>
                </c:pt>
                <c:pt idx="108">
                  <c:v>441.65716552734301</c:v>
                </c:pt>
                <c:pt idx="109">
                  <c:v>446.06112670898398</c:v>
                </c:pt>
                <c:pt idx="110">
                  <c:v>443.72494506835898</c:v>
                </c:pt>
                <c:pt idx="111">
                  <c:v>443.83428955078102</c:v>
                </c:pt>
                <c:pt idx="112">
                  <c:v>447.53240966796801</c:v>
                </c:pt>
                <c:pt idx="113">
                  <c:v>454.73974609375</c:v>
                </c:pt>
                <c:pt idx="114">
                  <c:v>455.35610961914</c:v>
                </c:pt>
                <c:pt idx="115">
                  <c:v>447.53240966796801</c:v>
                </c:pt>
                <c:pt idx="116">
                  <c:v>459.37234497070301</c:v>
                </c:pt>
                <c:pt idx="117">
                  <c:v>454.69006347656199</c:v>
                </c:pt>
                <c:pt idx="118">
                  <c:v>453.17898559570301</c:v>
                </c:pt>
                <c:pt idx="119">
                  <c:v>443.33721923828102</c:v>
                </c:pt>
                <c:pt idx="120">
                  <c:v>449.65982055664</c:v>
                </c:pt>
                <c:pt idx="121">
                  <c:v>460.93313598632801</c:v>
                </c:pt>
                <c:pt idx="122">
                  <c:v>462.87164306640602</c:v>
                </c:pt>
                <c:pt idx="123">
                  <c:v>465.16809082031199</c:v>
                </c:pt>
                <c:pt idx="124">
                  <c:v>462.01672363281199</c:v>
                </c:pt>
                <c:pt idx="125">
                  <c:v>462.08630371093699</c:v>
                </c:pt>
                <c:pt idx="126">
                  <c:v>470.04919433593699</c:v>
                </c:pt>
                <c:pt idx="127">
                  <c:v>476.07357788085898</c:v>
                </c:pt>
                <c:pt idx="128">
                  <c:v>476.41156005859301</c:v>
                </c:pt>
                <c:pt idx="129">
                  <c:v>477.05773925781199</c:v>
                </c:pt>
                <c:pt idx="130">
                  <c:v>489.33511352539</c:v>
                </c:pt>
                <c:pt idx="131">
                  <c:v>500.06164550781199</c:v>
                </c:pt>
                <c:pt idx="132">
                  <c:v>499.2265625</c:v>
                </c:pt>
                <c:pt idx="133">
                  <c:v>483.350494384765</c:v>
                </c:pt>
                <c:pt idx="134">
                  <c:v>482.078033447265</c:v>
                </c:pt>
                <c:pt idx="135">
                  <c:v>484.17562866210898</c:v>
                </c:pt>
                <c:pt idx="136">
                  <c:v>489.25555419921801</c:v>
                </c:pt>
                <c:pt idx="137">
                  <c:v>483.837646484375</c:v>
                </c:pt>
                <c:pt idx="138">
                  <c:v>488.81814575195301</c:v>
                </c:pt>
                <c:pt idx="139">
                  <c:v>496.095123291015</c:v>
                </c:pt>
                <c:pt idx="140">
                  <c:v>489.82223510742102</c:v>
                </c:pt>
                <c:pt idx="141">
                  <c:v>502.69607543945301</c:v>
                </c:pt>
                <c:pt idx="142">
                  <c:v>506.03628540039</c:v>
                </c:pt>
                <c:pt idx="143">
                  <c:v>497.17868041992102</c:v>
                </c:pt>
                <c:pt idx="144">
                  <c:v>467.87210083007801</c:v>
                </c:pt>
                <c:pt idx="145">
                  <c:v>456.32040405273398</c:v>
                </c:pt>
                <c:pt idx="146">
                  <c:v>467.45455932617102</c:v>
                </c:pt>
                <c:pt idx="147">
                  <c:v>470.22814941406199</c:v>
                </c:pt>
                <c:pt idx="148">
                  <c:v>482.9130859375</c:v>
                </c:pt>
                <c:pt idx="149">
                  <c:v>487.376708984375</c:v>
                </c:pt>
                <c:pt idx="150">
                  <c:v>482.64468383789</c:v>
                </c:pt>
                <c:pt idx="151">
                  <c:v>489.04681396484301</c:v>
                </c:pt>
                <c:pt idx="152">
                  <c:v>495.76705932617102</c:v>
                </c:pt>
                <c:pt idx="153">
                  <c:v>496.08514404296801</c:v>
                </c:pt>
                <c:pt idx="154">
                  <c:v>501.29437255859301</c:v>
                </c:pt>
                <c:pt idx="155">
                  <c:v>501.71188354492102</c:v>
                </c:pt>
                <c:pt idx="156">
                  <c:v>494.4150390625</c:v>
                </c:pt>
                <c:pt idx="157">
                  <c:v>493.54022216796801</c:v>
                </c:pt>
                <c:pt idx="158">
                  <c:v>494.82263183593699</c:v>
                </c:pt>
                <c:pt idx="159">
                  <c:v>506.42401123046801</c:v>
                </c:pt>
                <c:pt idx="160">
                  <c:v>504.88311767578102</c:v>
                </c:pt>
                <c:pt idx="161">
                  <c:v>504.27670288085898</c:v>
                </c:pt>
                <c:pt idx="162">
                  <c:v>500.36981201171801</c:v>
                </c:pt>
                <c:pt idx="163">
                  <c:v>507.100006103515</c:v>
                </c:pt>
                <c:pt idx="164">
                  <c:v>510.25</c:v>
                </c:pt>
                <c:pt idx="165">
                  <c:v>487.45999145507801</c:v>
                </c:pt>
                <c:pt idx="166">
                  <c:v>490.64001464843699</c:v>
                </c:pt>
                <c:pt idx="167">
                  <c:v>487.88000488281199</c:v>
                </c:pt>
                <c:pt idx="168">
                  <c:v>479.60998535156199</c:v>
                </c:pt>
                <c:pt idx="169">
                  <c:v>488.57000732421801</c:v>
                </c:pt>
                <c:pt idx="170">
                  <c:v>467.13000488281199</c:v>
                </c:pt>
                <c:pt idx="171">
                  <c:v>471.17001342773398</c:v>
                </c:pt>
                <c:pt idx="172">
                  <c:v>474.05999755859301</c:v>
                </c:pt>
                <c:pt idx="173">
                  <c:v>478.989990234375</c:v>
                </c:pt>
                <c:pt idx="174">
                  <c:v>485.16000366210898</c:v>
                </c:pt>
                <c:pt idx="175">
                  <c:v>485.39001464843699</c:v>
                </c:pt>
                <c:pt idx="176">
                  <c:v>484.579986572265</c:v>
                </c:pt>
                <c:pt idx="177">
                  <c:v>503.829986572265</c:v>
                </c:pt>
                <c:pt idx="178">
                  <c:v>498.42999267578102</c:v>
                </c:pt>
                <c:pt idx="179">
                  <c:v>497.41000366210898</c:v>
                </c:pt>
                <c:pt idx="180">
                  <c:v>498.01998901367102</c:v>
                </c:pt>
                <c:pt idx="181">
                  <c:v>491.14001464843699</c:v>
                </c:pt>
                <c:pt idx="182">
                  <c:v>496.92001342773398</c:v>
                </c:pt>
                <c:pt idx="183">
                  <c:v>498.510009765625</c:v>
                </c:pt>
                <c:pt idx="184">
                  <c:v>495.10998535156199</c:v>
                </c:pt>
                <c:pt idx="185">
                  <c:v>490.17001342773398</c:v>
                </c:pt>
                <c:pt idx="186">
                  <c:v>491.989990234375</c:v>
                </c:pt>
                <c:pt idx="187">
                  <c:v>486.100006103515</c:v>
                </c:pt>
                <c:pt idx="188">
                  <c:v>495.16000366210898</c:v>
                </c:pt>
                <c:pt idx="189">
                  <c:v>494.61999511718699</c:v>
                </c:pt>
                <c:pt idx="190">
                  <c:v>496.57000732421801</c:v>
                </c:pt>
                <c:pt idx="191">
                  <c:v>505.17999267578102</c:v>
                </c:pt>
                <c:pt idx="192">
                  <c:v>503.72000122070301</c:v>
                </c:pt>
                <c:pt idx="193">
                  <c:v>516.29998779296795</c:v>
                </c:pt>
                <c:pt idx="194">
                  <c:v>522.75</c:v>
                </c:pt>
                <c:pt idx="195">
                  <c:v>522.38000488281205</c:v>
                </c:pt>
                <c:pt idx="196">
                  <c:v>529.85998535156205</c:v>
                </c:pt>
                <c:pt idx="197">
                  <c:v>529</c:v>
                </c:pt>
                <c:pt idx="198">
                  <c:v>528.5</c:v>
                </c:pt>
                <c:pt idx="199">
                  <c:v>517.79998779296795</c:v>
                </c:pt>
                <c:pt idx="200">
                  <c:v>518.29998779296795</c:v>
                </c:pt>
                <c:pt idx="201">
                  <c:v>517.20001220703102</c:v>
                </c:pt>
                <c:pt idx="202">
                  <c:v>524.5</c:v>
                </c:pt>
                <c:pt idx="203">
                  <c:v>512.59997558593705</c:v>
                </c:pt>
                <c:pt idx="204">
                  <c:v>523.58001708984295</c:v>
                </c:pt>
                <c:pt idx="205">
                  <c:v>524.280029296875</c:v>
                </c:pt>
                <c:pt idx="206">
                  <c:v>524.40002441406205</c:v>
                </c:pt>
                <c:pt idx="207">
                  <c:v>517.78997802734295</c:v>
                </c:pt>
                <c:pt idx="208">
                  <c:v>519.34997558593705</c:v>
                </c:pt>
                <c:pt idx="209">
                  <c:v>511.47000122070301</c:v>
                </c:pt>
                <c:pt idx="210">
                  <c:v>526.96002197265602</c:v>
                </c:pt>
                <c:pt idx="211">
                  <c:v>595.97998046875</c:v>
                </c:pt>
                <c:pt idx="212">
                  <c:v>582.16998291015602</c:v>
                </c:pt>
                <c:pt idx="213">
                  <c:v>589.260009765625</c:v>
                </c:pt>
                <c:pt idx="214">
                  <c:v>602.34002685546795</c:v>
                </c:pt>
                <c:pt idx="215">
                  <c:v>592.59002685546795</c:v>
                </c:pt>
                <c:pt idx="216">
                  <c:v>594.219970703125</c:v>
                </c:pt>
                <c:pt idx="217">
                  <c:v>588.60998535156205</c:v>
                </c:pt>
                <c:pt idx="218">
                  <c:v>593.53997802734295</c:v>
                </c:pt>
                <c:pt idx="219">
                  <c:v>587.989990234375</c:v>
                </c:pt>
                <c:pt idx="220">
                  <c:v>581.38000488281205</c:v>
                </c:pt>
                <c:pt idx="221">
                  <c:v>581.92999267578102</c:v>
                </c:pt>
                <c:pt idx="222">
                  <c:v>596.10998535156205</c:v>
                </c:pt>
                <c:pt idx="223">
                  <c:v>602.780029296875</c:v>
                </c:pt>
                <c:pt idx="224">
                  <c:v>603.030029296875</c:v>
                </c:pt>
                <c:pt idx="225">
                  <c:v>605.5</c:v>
                </c:pt>
                <c:pt idx="226">
                  <c:v>605.42999267578102</c:v>
                </c:pt>
                <c:pt idx="227">
                  <c:v>608.57000732421795</c:v>
                </c:pt>
                <c:pt idx="228">
                  <c:v>601.71002197265602</c:v>
                </c:pt>
                <c:pt idx="229">
                  <c:v>602.08001708984295</c:v>
                </c:pt>
                <c:pt idx="230">
                  <c:v>598.71002197265602</c:v>
                </c:pt>
                <c:pt idx="231">
                  <c:v>596.79998779296795</c:v>
                </c:pt>
                <c:pt idx="232">
                  <c:v>599.67999267578102</c:v>
                </c:pt>
                <c:pt idx="233">
                  <c:v>594.11999511718705</c:v>
                </c:pt>
                <c:pt idx="234">
                  <c:v>585.030029296875</c:v>
                </c:pt>
                <c:pt idx="235">
                  <c:v>592.55999755859295</c:v>
                </c:pt>
                <c:pt idx="236">
                  <c:v>591.60998535156205</c:v>
                </c:pt>
                <c:pt idx="237">
                  <c:v>585.47998046875</c:v>
                </c:pt>
                <c:pt idx="238">
                  <c:v>586.33001708984295</c:v>
                </c:pt>
                <c:pt idx="239">
                  <c:v>574.67999267578102</c:v>
                </c:pt>
                <c:pt idx="240">
                  <c:v>550.25</c:v>
                </c:pt>
                <c:pt idx="241">
                  <c:v>553.989990234375</c:v>
                </c:pt>
                <c:pt idx="242">
                  <c:v>566.09997558593705</c:v>
                </c:pt>
                <c:pt idx="243">
                  <c:v>570.780029296875</c:v>
                </c:pt>
                <c:pt idx="244">
                  <c:v>582.78997802734295</c:v>
                </c:pt>
                <c:pt idx="245">
                  <c:v>581.22998046875</c:v>
                </c:pt>
                <c:pt idx="246">
                  <c:v>576.17999267578102</c:v>
                </c:pt>
                <c:pt idx="247">
                  <c:v>573.54998779296795</c:v>
                </c:pt>
                <c:pt idx="248">
                  <c:v>572.61999511718705</c:v>
                </c:pt>
                <c:pt idx="249">
                  <c:v>574.969970703125</c:v>
                </c:pt>
                <c:pt idx="250">
                  <c:v>580.13000488281205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23-4FB5-9A81-7C8371D281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4090064"/>
        <c:axId val="1184085384"/>
      </c:lineChart>
      <c:dateAx>
        <c:axId val="11840900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085384"/>
        <c:crosses val="autoZero"/>
        <c:auto val="1"/>
        <c:lblOffset val="100"/>
        <c:baseTimeUnit val="days"/>
      </c:dateAx>
      <c:valAx>
        <c:axId val="1184085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409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'PRICE DATA'!$B$1</c:f>
              <c:strCache>
                <c:ptCount val="1"/>
                <c:pt idx="0">
                  <c:v>Returns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'PRICE DATA'!$A$2:$A$252</c:f>
              <c:numCache>
                <c:formatCode>m/d/yyyy</c:formatCode>
                <c:ptCount val="251"/>
                <c:pt idx="0">
                  <c:v>45296</c:v>
                </c:pt>
                <c:pt idx="1">
                  <c:v>45299</c:v>
                </c:pt>
                <c:pt idx="2">
                  <c:v>45300</c:v>
                </c:pt>
                <c:pt idx="3">
                  <c:v>45301</c:v>
                </c:pt>
                <c:pt idx="4">
                  <c:v>45302</c:v>
                </c:pt>
                <c:pt idx="5">
                  <c:v>45303</c:v>
                </c:pt>
                <c:pt idx="6">
                  <c:v>45307</c:v>
                </c:pt>
                <c:pt idx="7">
                  <c:v>45308</c:v>
                </c:pt>
                <c:pt idx="8">
                  <c:v>45309</c:v>
                </c:pt>
                <c:pt idx="9">
                  <c:v>45310</c:v>
                </c:pt>
                <c:pt idx="10">
                  <c:v>45313</c:v>
                </c:pt>
                <c:pt idx="11">
                  <c:v>45314</c:v>
                </c:pt>
                <c:pt idx="12">
                  <c:v>45315</c:v>
                </c:pt>
                <c:pt idx="13">
                  <c:v>45316</c:v>
                </c:pt>
                <c:pt idx="14">
                  <c:v>45317</c:v>
                </c:pt>
                <c:pt idx="15">
                  <c:v>45320</c:v>
                </c:pt>
                <c:pt idx="16">
                  <c:v>45321</c:v>
                </c:pt>
                <c:pt idx="17">
                  <c:v>45322</c:v>
                </c:pt>
                <c:pt idx="18">
                  <c:v>45323</c:v>
                </c:pt>
                <c:pt idx="19">
                  <c:v>45324</c:v>
                </c:pt>
                <c:pt idx="20">
                  <c:v>45327</c:v>
                </c:pt>
                <c:pt idx="21">
                  <c:v>45328</c:v>
                </c:pt>
                <c:pt idx="22">
                  <c:v>45329</c:v>
                </c:pt>
                <c:pt idx="23">
                  <c:v>45330</c:v>
                </c:pt>
                <c:pt idx="24">
                  <c:v>45331</c:v>
                </c:pt>
                <c:pt idx="25">
                  <c:v>45334</c:v>
                </c:pt>
                <c:pt idx="26">
                  <c:v>45335</c:v>
                </c:pt>
                <c:pt idx="27">
                  <c:v>45336</c:v>
                </c:pt>
                <c:pt idx="28">
                  <c:v>45337</c:v>
                </c:pt>
                <c:pt idx="29">
                  <c:v>45338</c:v>
                </c:pt>
                <c:pt idx="30">
                  <c:v>45342</c:v>
                </c:pt>
                <c:pt idx="31">
                  <c:v>45343</c:v>
                </c:pt>
                <c:pt idx="32">
                  <c:v>45344</c:v>
                </c:pt>
                <c:pt idx="33">
                  <c:v>45345</c:v>
                </c:pt>
                <c:pt idx="34">
                  <c:v>45348</c:v>
                </c:pt>
                <c:pt idx="35">
                  <c:v>45349</c:v>
                </c:pt>
                <c:pt idx="36">
                  <c:v>45350</c:v>
                </c:pt>
                <c:pt idx="37">
                  <c:v>45351</c:v>
                </c:pt>
                <c:pt idx="38">
                  <c:v>45352</c:v>
                </c:pt>
                <c:pt idx="39">
                  <c:v>45355</c:v>
                </c:pt>
                <c:pt idx="40">
                  <c:v>45356</c:v>
                </c:pt>
                <c:pt idx="41">
                  <c:v>45357</c:v>
                </c:pt>
                <c:pt idx="42">
                  <c:v>45358</c:v>
                </c:pt>
                <c:pt idx="43">
                  <c:v>45359</c:v>
                </c:pt>
                <c:pt idx="44">
                  <c:v>45362</c:v>
                </c:pt>
                <c:pt idx="45">
                  <c:v>45363</c:v>
                </c:pt>
                <c:pt idx="46">
                  <c:v>45364</c:v>
                </c:pt>
                <c:pt idx="47">
                  <c:v>45365</c:v>
                </c:pt>
                <c:pt idx="48">
                  <c:v>45366</c:v>
                </c:pt>
                <c:pt idx="49">
                  <c:v>45369</c:v>
                </c:pt>
                <c:pt idx="50">
                  <c:v>45370</c:v>
                </c:pt>
                <c:pt idx="51">
                  <c:v>45371</c:v>
                </c:pt>
                <c:pt idx="52">
                  <c:v>45372</c:v>
                </c:pt>
                <c:pt idx="53">
                  <c:v>45373</c:v>
                </c:pt>
                <c:pt idx="54">
                  <c:v>45376</c:v>
                </c:pt>
                <c:pt idx="55">
                  <c:v>45377</c:v>
                </c:pt>
                <c:pt idx="56">
                  <c:v>45378</c:v>
                </c:pt>
                <c:pt idx="57">
                  <c:v>45379</c:v>
                </c:pt>
                <c:pt idx="58">
                  <c:v>45383</c:v>
                </c:pt>
                <c:pt idx="59">
                  <c:v>45384</c:v>
                </c:pt>
                <c:pt idx="60">
                  <c:v>45385</c:v>
                </c:pt>
                <c:pt idx="61">
                  <c:v>45386</c:v>
                </c:pt>
                <c:pt idx="62">
                  <c:v>45387</c:v>
                </c:pt>
                <c:pt idx="63">
                  <c:v>45390</c:v>
                </c:pt>
                <c:pt idx="64">
                  <c:v>45391</c:v>
                </c:pt>
                <c:pt idx="65">
                  <c:v>45392</c:v>
                </c:pt>
                <c:pt idx="66">
                  <c:v>45393</c:v>
                </c:pt>
                <c:pt idx="67">
                  <c:v>45394</c:v>
                </c:pt>
                <c:pt idx="68">
                  <c:v>45397</c:v>
                </c:pt>
                <c:pt idx="69">
                  <c:v>45398</c:v>
                </c:pt>
                <c:pt idx="70">
                  <c:v>45399</c:v>
                </c:pt>
                <c:pt idx="71">
                  <c:v>45400</c:v>
                </c:pt>
                <c:pt idx="72">
                  <c:v>45401</c:v>
                </c:pt>
                <c:pt idx="73">
                  <c:v>45404</c:v>
                </c:pt>
                <c:pt idx="74">
                  <c:v>45405</c:v>
                </c:pt>
                <c:pt idx="75">
                  <c:v>45406</c:v>
                </c:pt>
                <c:pt idx="76">
                  <c:v>45407</c:v>
                </c:pt>
                <c:pt idx="77">
                  <c:v>45408</c:v>
                </c:pt>
                <c:pt idx="78">
                  <c:v>45411</c:v>
                </c:pt>
                <c:pt idx="79">
                  <c:v>45412</c:v>
                </c:pt>
                <c:pt idx="80">
                  <c:v>45413</c:v>
                </c:pt>
                <c:pt idx="81">
                  <c:v>45414</c:v>
                </c:pt>
                <c:pt idx="82">
                  <c:v>45415</c:v>
                </c:pt>
                <c:pt idx="83">
                  <c:v>45418</c:v>
                </c:pt>
                <c:pt idx="84">
                  <c:v>45419</c:v>
                </c:pt>
                <c:pt idx="85">
                  <c:v>45420</c:v>
                </c:pt>
                <c:pt idx="86">
                  <c:v>45421</c:v>
                </c:pt>
                <c:pt idx="87">
                  <c:v>45422</c:v>
                </c:pt>
                <c:pt idx="88">
                  <c:v>45425</c:v>
                </c:pt>
                <c:pt idx="89">
                  <c:v>45426</c:v>
                </c:pt>
                <c:pt idx="90">
                  <c:v>45427</c:v>
                </c:pt>
                <c:pt idx="91">
                  <c:v>45428</c:v>
                </c:pt>
                <c:pt idx="92">
                  <c:v>45429</c:v>
                </c:pt>
                <c:pt idx="93">
                  <c:v>45432</c:v>
                </c:pt>
                <c:pt idx="94">
                  <c:v>45433</c:v>
                </c:pt>
                <c:pt idx="95">
                  <c:v>45434</c:v>
                </c:pt>
                <c:pt idx="96">
                  <c:v>45435</c:v>
                </c:pt>
                <c:pt idx="97">
                  <c:v>45436</c:v>
                </c:pt>
                <c:pt idx="98">
                  <c:v>45440</c:v>
                </c:pt>
                <c:pt idx="99">
                  <c:v>45441</c:v>
                </c:pt>
                <c:pt idx="100">
                  <c:v>45442</c:v>
                </c:pt>
                <c:pt idx="101">
                  <c:v>45443</c:v>
                </c:pt>
                <c:pt idx="102">
                  <c:v>45446</c:v>
                </c:pt>
                <c:pt idx="103">
                  <c:v>45447</c:v>
                </c:pt>
                <c:pt idx="104">
                  <c:v>45448</c:v>
                </c:pt>
                <c:pt idx="105">
                  <c:v>45449</c:v>
                </c:pt>
                <c:pt idx="106">
                  <c:v>45450</c:v>
                </c:pt>
                <c:pt idx="107">
                  <c:v>45453</c:v>
                </c:pt>
                <c:pt idx="108">
                  <c:v>45454</c:v>
                </c:pt>
                <c:pt idx="109">
                  <c:v>45455</c:v>
                </c:pt>
                <c:pt idx="110">
                  <c:v>45456</c:v>
                </c:pt>
                <c:pt idx="111">
                  <c:v>45457</c:v>
                </c:pt>
                <c:pt idx="112">
                  <c:v>45460</c:v>
                </c:pt>
                <c:pt idx="113">
                  <c:v>45461</c:v>
                </c:pt>
                <c:pt idx="114">
                  <c:v>45463</c:v>
                </c:pt>
                <c:pt idx="115">
                  <c:v>45464</c:v>
                </c:pt>
                <c:pt idx="116">
                  <c:v>45467</c:v>
                </c:pt>
                <c:pt idx="117">
                  <c:v>45468</c:v>
                </c:pt>
                <c:pt idx="118">
                  <c:v>45469</c:v>
                </c:pt>
                <c:pt idx="119">
                  <c:v>45470</c:v>
                </c:pt>
                <c:pt idx="120">
                  <c:v>45471</c:v>
                </c:pt>
                <c:pt idx="121">
                  <c:v>45474</c:v>
                </c:pt>
                <c:pt idx="122">
                  <c:v>45475</c:v>
                </c:pt>
                <c:pt idx="123">
                  <c:v>45476</c:v>
                </c:pt>
                <c:pt idx="124">
                  <c:v>45478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45488</c:v>
                </c:pt>
                <c:pt idx="131">
                  <c:v>45489</c:v>
                </c:pt>
                <c:pt idx="132">
                  <c:v>45490</c:v>
                </c:pt>
                <c:pt idx="133">
                  <c:v>45491</c:v>
                </c:pt>
                <c:pt idx="134">
                  <c:v>45492</c:v>
                </c:pt>
                <c:pt idx="135">
                  <c:v>45495</c:v>
                </c:pt>
                <c:pt idx="136">
                  <c:v>45496</c:v>
                </c:pt>
                <c:pt idx="137">
                  <c:v>45497</c:v>
                </c:pt>
                <c:pt idx="138">
                  <c:v>45498</c:v>
                </c:pt>
                <c:pt idx="139">
                  <c:v>45499</c:v>
                </c:pt>
                <c:pt idx="140">
                  <c:v>45502</c:v>
                </c:pt>
                <c:pt idx="141">
                  <c:v>45503</c:v>
                </c:pt>
                <c:pt idx="142">
                  <c:v>45504</c:v>
                </c:pt>
                <c:pt idx="143">
                  <c:v>45505</c:v>
                </c:pt>
                <c:pt idx="144">
                  <c:v>45506</c:v>
                </c:pt>
                <c:pt idx="145">
                  <c:v>45509</c:v>
                </c:pt>
                <c:pt idx="146">
                  <c:v>45510</c:v>
                </c:pt>
                <c:pt idx="147">
                  <c:v>45511</c:v>
                </c:pt>
                <c:pt idx="148">
                  <c:v>45512</c:v>
                </c:pt>
                <c:pt idx="149">
                  <c:v>45513</c:v>
                </c:pt>
                <c:pt idx="150">
                  <c:v>45516</c:v>
                </c:pt>
                <c:pt idx="151">
                  <c:v>45517</c:v>
                </c:pt>
                <c:pt idx="152">
                  <c:v>45518</c:v>
                </c:pt>
                <c:pt idx="153">
                  <c:v>45519</c:v>
                </c:pt>
                <c:pt idx="154">
                  <c:v>45520</c:v>
                </c:pt>
                <c:pt idx="155">
                  <c:v>45523</c:v>
                </c:pt>
                <c:pt idx="156">
                  <c:v>45524</c:v>
                </c:pt>
                <c:pt idx="157">
                  <c:v>45525</c:v>
                </c:pt>
                <c:pt idx="158">
                  <c:v>45526</c:v>
                </c:pt>
                <c:pt idx="159">
                  <c:v>45527</c:v>
                </c:pt>
                <c:pt idx="160">
                  <c:v>45530</c:v>
                </c:pt>
                <c:pt idx="161">
                  <c:v>45531</c:v>
                </c:pt>
                <c:pt idx="162">
                  <c:v>45532</c:v>
                </c:pt>
                <c:pt idx="163">
                  <c:v>45533</c:v>
                </c:pt>
                <c:pt idx="164">
                  <c:v>45534</c:v>
                </c:pt>
                <c:pt idx="165">
                  <c:v>45538</c:v>
                </c:pt>
                <c:pt idx="166">
                  <c:v>45539</c:v>
                </c:pt>
                <c:pt idx="167">
                  <c:v>45540</c:v>
                </c:pt>
                <c:pt idx="168">
                  <c:v>45541</c:v>
                </c:pt>
                <c:pt idx="169">
                  <c:v>45544</c:v>
                </c:pt>
                <c:pt idx="170">
                  <c:v>45545</c:v>
                </c:pt>
                <c:pt idx="171">
                  <c:v>45546</c:v>
                </c:pt>
                <c:pt idx="172">
                  <c:v>45547</c:v>
                </c:pt>
                <c:pt idx="173">
                  <c:v>45548</c:v>
                </c:pt>
                <c:pt idx="174">
                  <c:v>45551</c:v>
                </c:pt>
                <c:pt idx="175">
                  <c:v>45552</c:v>
                </c:pt>
                <c:pt idx="176">
                  <c:v>45553</c:v>
                </c:pt>
                <c:pt idx="177">
                  <c:v>45554</c:v>
                </c:pt>
                <c:pt idx="178">
                  <c:v>45555</c:v>
                </c:pt>
                <c:pt idx="179">
                  <c:v>45558</c:v>
                </c:pt>
                <c:pt idx="180">
                  <c:v>45559</c:v>
                </c:pt>
                <c:pt idx="181">
                  <c:v>45560</c:v>
                </c:pt>
                <c:pt idx="182">
                  <c:v>45561</c:v>
                </c:pt>
                <c:pt idx="183">
                  <c:v>45562</c:v>
                </c:pt>
                <c:pt idx="184">
                  <c:v>45565</c:v>
                </c:pt>
                <c:pt idx="185">
                  <c:v>45566</c:v>
                </c:pt>
                <c:pt idx="186">
                  <c:v>45567</c:v>
                </c:pt>
                <c:pt idx="187">
                  <c:v>45568</c:v>
                </c:pt>
                <c:pt idx="188">
                  <c:v>45569</c:v>
                </c:pt>
                <c:pt idx="189">
                  <c:v>45572</c:v>
                </c:pt>
                <c:pt idx="190">
                  <c:v>45573</c:v>
                </c:pt>
                <c:pt idx="191">
                  <c:v>45574</c:v>
                </c:pt>
                <c:pt idx="192">
                  <c:v>45575</c:v>
                </c:pt>
                <c:pt idx="193">
                  <c:v>45576</c:v>
                </c:pt>
                <c:pt idx="194">
                  <c:v>45579</c:v>
                </c:pt>
                <c:pt idx="195">
                  <c:v>45580</c:v>
                </c:pt>
                <c:pt idx="196">
                  <c:v>45581</c:v>
                </c:pt>
                <c:pt idx="197">
                  <c:v>45582</c:v>
                </c:pt>
                <c:pt idx="198">
                  <c:v>45583</c:v>
                </c:pt>
                <c:pt idx="199">
                  <c:v>45586</c:v>
                </c:pt>
                <c:pt idx="200">
                  <c:v>45587</c:v>
                </c:pt>
                <c:pt idx="201">
                  <c:v>45588</c:v>
                </c:pt>
                <c:pt idx="202">
                  <c:v>45589</c:v>
                </c:pt>
                <c:pt idx="203">
                  <c:v>45590</c:v>
                </c:pt>
                <c:pt idx="204">
                  <c:v>45593</c:v>
                </c:pt>
                <c:pt idx="205">
                  <c:v>45594</c:v>
                </c:pt>
                <c:pt idx="206">
                  <c:v>45595</c:v>
                </c:pt>
                <c:pt idx="207">
                  <c:v>45596</c:v>
                </c:pt>
                <c:pt idx="208">
                  <c:v>45597</c:v>
                </c:pt>
                <c:pt idx="209">
                  <c:v>45600</c:v>
                </c:pt>
                <c:pt idx="210">
                  <c:v>45601</c:v>
                </c:pt>
                <c:pt idx="211">
                  <c:v>45602</c:v>
                </c:pt>
                <c:pt idx="212">
                  <c:v>45603</c:v>
                </c:pt>
                <c:pt idx="213">
                  <c:v>45604</c:v>
                </c:pt>
                <c:pt idx="214">
                  <c:v>45607</c:v>
                </c:pt>
                <c:pt idx="215">
                  <c:v>45608</c:v>
                </c:pt>
                <c:pt idx="216">
                  <c:v>45609</c:v>
                </c:pt>
                <c:pt idx="217">
                  <c:v>45610</c:v>
                </c:pt>
                <c:pt idx="218">
                  <c:v>45611</c:v>
                </c:pt>
                <c:pt idx="219">
                  <c:v>45614</c:v>
                </c:pt>
                <c:pt idx="220">
                  <c:v>45615</c:v>
                </c:pt>
                <c:pt idx="221">
                  <c:v>45616</c:v>
                </c:pt>
                <c:pt idx="222">
                  <c:v>45617</c:v>
                </c:pt>
                <c:pt idx="223">
                  <c:v>45618</c:v>
                </c:pt>
                <c:pt idx="224">
                  <c:v>45621</c:v>
                </c:pt>
                <c:pt idx="225">
                  <c:v>45622</c:v>
                </c:pt>
                <c:pt idx="226">
                  <c:v>45623</c:v>
                </c:pt>
                <c:pt idx="227">
                  <c:v>45625</c:v>
                </c:pt>
                <c:pt idx="228">
                  <c:v>45628</c:v>
                </c:pt>
                <c:pt idx="229">
                  <c:v>45629</c:v>
                </c:pt>
                <c:pt idx="230">
                  <c:v>45630</c:v>
                </c:pt>
                <c:pt idx="231">
                  <c:v>45631</c:v>
                </c:pt>
                <c:pt idx="232">
                  <c:v>45632</c:v>
                </c:pt>
                <c:pt idx="233">
                  <c:v>45635</c:v>
                </c:pt>
                <c:pt idx="234">
                  <c:v>45636</c:v>
                </c:pt>
                <c:pt idx="235">
                  <c:v>45637</c:v>
                </c:pt>
                <c:pt idx="236">
                  <c:v>45638</c:v>
                </c:pt>
                <c:pt idx="237">
                  <c:v>45639</c:v>
                </c:pt>
                <c:pt idx="238">
                  <c:v>45642</c:v>
                </c:pt>
                <c:pt idx="239">
                  <c:v>45643</c:v>
                </c:pt>
                <c:pt idx="240">
                  <c:v>45644</c:v>
                </c:pt>
                <c:pt idx="241">
                  <c:v>45645</c:v>
                </c:pt>
                <c:pt idx="242">
                  <c:v>45646</c:v>
                </c:pt>
                <c:pt idx="243">
                  <c:v>45649</c:v>
                </c:pt>
                <c:pt idx="244">
                  <c:v>45650</c:v>
                </c:pt>
                <c:pt idx="245">
                  <c:v>45652</c:v>
                </c:pt>
                <c:pt idx="246">
                  <c:v>45653</c:v>
                </c:pt>
                <c:pt idx="247">
                  <c:v>45656</c:v>
                </c:pt>
                <c:pt idx="248">
                  <c:v>45657</c:v>
                </c:pt>
                <c:pt idx="249">
                  <c:v>45659</c:v>
                </c:pt>
                <c:pt idx="250">
                  <c:v>45660</c:v>
                </c:pt>
              </c:numCache>
            </c:numRef>
          </c:cat>
          <c:val>
            <c:numRef>
              <c:f>'PRICE DATA'!$B$2:$B$252</c:f>
              <c:numCache>
                <c:formatCode>#,##0</c:formatCode>
                <c:ptCount val="251"/>
                <c:pt idx="0" formatCode="General">
                  <c:v>9.1134030163864104E-3</c:v>
                </c:pt>
                <c:pt idx="1">
                  <c:v>6.2623228085070199E-3</c:v>
                </c:pt>
                <c:pt idx="2">
                  <c:v>-1.31667203895562E-2</c:v>
                </c:pt>
                <c:pt idx="3">
                  <c:v>-4.6385850848457101E-3</c:v>
                </c:pt>
                <c:pt idx="4" formatCode="General">
                  <c:v>-5.7858811926208E-3</c:v>
                </c:pt>
                <c:pt idx="5">
                  <c:v>-5.2667055980041202E-3</c:v>
                </c:pt>
                <c:pt idx="6">
                  <c:v>7.1476644403323198E-3</c:v>
                </c:pt>
                <c:pt idx="7" formatCode="General">
                  <c:v>-8.5951349391057905E-3</c:v>
                </c:pt>
                <c:pt idx="8" formatCode="General">
                  <c:v>-7.15764127683038E-4</c:v>
                </c:pt>
                <c:pt idx="9">
                  <c:v>1.4035147076055699E-2</c:v>
                </c:pt>
                <c:pt idx="10">
                  <c:v>9.8377310256316797E-3</c:v>
                </c:pt>
                <c:pt idx="11">
                  <c:v>-1.34469695443457E-2</c:v>
                </c:pt>
                <c:pt idx="12">
                  <c:v>-3.5980096589504E-3</c:v>
                </c:pt>
                <c:pt idx="13" formatCode="General">
                  <c:v>8.6980324104815009E-3</c:v>
                </c:pt>
                <c:pt idx="14">
                  <c:v>-1.2829905975735301E-2</c:v>
                </c:pt>
                <c:pt idx="15">
                  <c:v>7.3320631196789297E-3</c:v>
                </c:pt>
                <c:pt idx="16" formatCode="General">
                  <c:v>1.65808349621905E-2</c:v>
                </c:pt>
                <c:pt idx="17">
                  <c:v>-7.3926425547624604E-3</c:v>
                </c:pt>
                <c:pt idx="18">
                  <c:v>-4.1663646241296698E-4</c:v>
                </c:pt>
                <c:pt idx="19">
                  <c:v>1.0446749306457699E-2</c:v>
                </c:pt>
                <c:pt idx="20" formatCode="General">
                  <c:v>-1.24787915714469E-2</c:v>
                </c:pt>
                <c:pt idx="21" formatCode="General">
                  <c:v>5.1434614862411101E-3</c:v>
                </c:pt>
                <c:pt idx="22" formatCode="General">
                  <c:v>4.3377752988284996E-3</c:v>
                </c:pt>
                <c:pt idx="23" formatCode="General">
                  <c:v>-4.1897739303009499E-3</c:v>
                </c:pt>
                <c:pt idx="24" formatCode="General">
                  <c:v>-2.025750243687E-3</c:v>
                </c:pt>
                <c:pt idx="25" formatCode="General">
                  <c:v>2.1808108813178E-2</c:v>
                </c:pt>
                <c:pt idx="26" formatCode="General">
                  <c:v>-3.5375898628338599E-2</c:v>
                </c:pt>
                <c:pt idx="27" formatCode="General">
                  <c:v>-1.87454146533017E-3</c:v>
                </c:pt>
                <c:pt idx="28" formatCode="General">
                  <c:v>1.9521741280282601E-2</c:v>
                </c:pt>
                <c:pt idx="29" formatCode="General">
                  <c:v>-2.5426432207868999E-3</c:v>
                </c:pt>
                <c:pt idx="30" formatCode="General">
                  <c:v>2.0800430668432799E-4</c:v>
                </c:pt>
                <c:pt idx="31" formatCode="General">
                  <c:v>9.7524915691247199E-3</c:v>
                </c:pt>
                <c:pt idx="32" formatCode="General">
                  <c:v>5.6661369791599601E-3</c:v>
                </c:pt>
                <c:pt idx="33" formatCode="General">
                  <c:v>1.4854000185118199E-3</c:v>
                </c:pt>
                <c:pt idx="34" formatCode="General">
                  <c:v>-2.12251136218843E-3</c:v>
                </c:pt>
                <c:pt idx="35" formatCode="General">
                  <c:v>1.51193720211995E-3</c:v>
                </c:pt>
                <c:pt idx="36" formatCode="General">
                  <c:v>1.3193820196774699E-2</c:v>
                </c:pt>
                <c:pt idx="37" formatCode="General">
                  <c:v>-1.0504121976541001E-2</c:v>
                </c:pt>
                <c:pt idx="38" formatCode="General">
                  <c:v>-2.44173696017679E-3</c:v>
                </c:pt>
                <c:pt idx="39" formatCode="General">
                  <c:v>1.06931002868677E-2</c:v>
                </c:pt>
                <c:pt idx="40" formatCode="General">
                  <c:v>-3.4161641062626599E-3</c:v>
                </c:pt>
                <c:pt idx="41" formatCode="General">
                  <c:v>-3.4279532924871201E-3</c:v>
                </c:pt>
                <c:pt idx="42" formatCode="General">
                  <c:v>-2.9262682200072998E-3</c:v>
                </c:pt>
                <c:pt idx="43" formatCode="General">
                  <c:v>-3.7072916456297698E-3</c:v>
                </c:pt>
                <c:pt idx="44" formatCode="General">
                  <c:v>-2.1446905581182698E-3</c:v>
                </c:pt>
                <c:pt idx="45" formatCode="General">
                  <c:v>5.2309713878517699E-3</c:v>
                </c:pt>
                <c:pt idx="46" formatCode="General">
                  <c:v>1.0639421033206101E-2</c:v>
                </c:pt>
                <c:pt idx="47" formatCode="General">
                  <c:v>-9.4313525162842398E-3</c:v>
                </c:pt>
                <c:pt idx="48" formatCode="General">
                  <c:v>-3.6025779043266002E-3</c:v>
                </c:pt>
                <c:pt idx="49" formatCode="General">
                  <c:v>-7.33457583558838E-3</c:v>
                </c:pt>
                <c:pt idx="50" formatCode="General">
                  <c:v>1.1161173245741699E-2</c:v>
                </c:pt>
                <c:pt idx="51" formatCode="General">
                  <c:v>2.0094635065703099E-2</c:v>
                </c:pt>
                <c:pt idx="52" formatCode="General">
                  <c:v>4.34837644747567E-2</c:v>
                </c:pt>
                <c:pt idx="53" formatCode="General">
                  <c:v>-1.6654131507567199E-2</c:v>
                </c:pt>
                <c:pt idx="54" formatCode="General">
                  <c:v>-4.6211966965880001E-3</c:v>
                </c:pt>
                <c:pt idx="55" formatCode="General">
                  <c:v>3.0621531672998499E-3</c:v>
                </c:pt>
                <c:pt idx="56" formatCode="General">
                  <c:v>2.2330033085107E-2</c:v>
                </c:pt>
                <c:pt idx="57" formatCode="General">
                  <c:v>5.8759348838870401E-3</c:v>
                </c:pt>
                <c:pt idx="58" formatCode="General">
                  <c:v>-1.00074494298321E-2</c:v>
                </c:pt>
                <c:pt idx="59" formatCode="General">
                  <c:v>-8.1255168819537298E-3</c:v>
                </c:pt>
                <c:pt idx="60" formatCode="General">
                  <c:v>9.3867760610855094E-3</c:v>
                </c:pt>
                <c:pt idx="61" formatCode="General">
                  <c:v>-1.8719743201160401E-2</c:v>
                </c:pt>
                <c:pt idx="62" formatCode="General">
                  <c:v>4.47996998047606E-3</c:v>
                </c:pt>
                <c:pt idx="63" formatCode="General">
                  <c:v>6.0528859529331803E-3</c:v>
                </c:pt>
                <c:pt idx="64" formatCode="General">
                  <c:v>4.1405210391354198E-4</c:v>
                </c:pt>
                <c:pt idx="65" formatCode="General">
                  <c:v>-2.4226235150881799E-2</c:v>
                </c:pt>
                <c:pt idx="66" formatCode="General">
                  <c:v>-8.1844316087797894E-3</c:v>
                </c:pt>
                <c:pt idx="67" formatCode="General">
                  <c:v>-2.0101801534404402E-2</c:v>
                </c:pt>
                <c:pt idx="68" formatCode="General">
                  <c:v>2.9243399656517701E-2</c:v>
                </c:pt>
                <c:pt idx="69" formatCode="General">
                  <c:v>-1.00279440391956E-2</c:v>
                </c:pt>
                <c:pt idx="70" formatCode="General">
                  <c:v>1.7764582165861801E-2</c:v>
                </c:pt>
                <c:pt idx="71" formatCode="General">
                  <c:v>-1.9807561189536501E-3</c:v>
                </c:pt>
                <c:pt idx="72" formatCode="General">
                  <c:v>2.2078640658134102E-3</c:v>
                </c:pt>
                <c:pt idx="73" formatCode="General">
                  <c:v>3.30445434427835E-2</c:v>
                </c:pt>
                <c:pt idx="74" formatCode="General">
                  <c:v>1.5933899068162501E-2</c:v>
                </c:pt>
                <c:pt idx="75" formatCode="General">
                  <c:v>-2.2641390142312799E-3</c:v>
                </c:pt>
                <c:pt idx="76" formatCode="General">
                  <c:v>-7.06794653576448E-3</c:v>
                </c:pt>
                <c:pt idx="77" formatCode="General">
                  <c:v>1.7902659669111198E-2</c:v>
                </c:pt>
                <c:pt idx="78" formatCode="General">
                  <c:v>7.5777751244849798E-3</c:v>
                </c:pt>
                <c:pt idx="79" formatCode="General">
                  <c:v>-9.5170073601316095E-3</c:v>
                </c:pt>
                <c:pt idx="80" formatCode="General">
                  <c:v>5.6243991370652502E-4</c:v>
                </c:pt>
                <c:pt idx="81" formatCode="General">
                  <c:v>1.31631429105061E-2</c:v>
                </c:pt>
                <c:pt idx="82" formatCode="General">
                  <c:v>1.29689219088797E-2</c:v>
                </c:pt>
                <c:pt idx="83" formatCode="General">
                  <c:v>1.25291998993231E-2</c:v>
                </c:pt>
                <c:pt idx="84" formatCode="General">
                  <c:v>2.92919105251865E-4</c:v>
                </c:pt>
                <c:pt idx="85" formatCode="General">
                  <c:v>7.0978679186683904E-3</c:v>
                </c:pt>
                <c:pt idx="86" formatCode="General">
                  <c:v>1.92638930012516E-2</c:v>
                </c:pt>
                <c:pt idx="87" formatCode="General">
                  <c:v>-1.8219436040153301E-3</c:v>
                </c:pt>
                <c:pt idx="88" formatCode="General">
                  <c:v>-2.57296729878364E-3</c:v>
                </c:pt>
                <c:pt idx="89" formatCode="General">
                  <c:v>1.0825500688684301E-2</c:v>
                </c:pt>
                <c:pt idx="90" formatCode="General">
                  <c:v>1.66205286577156E-2</c:v>
                </c:pt>
                <c:pt idx="91" formatCode="General">
                  <c:v>-3.3685434483595698E-3</c:v>
                </c:pt>
                <c:pt idx="92" formatCode="General">
                  <c:v>6.8888398520587897E-3</c:v>
                </c:pt>
                <c:pt idx="93" formatCode="General">
                  <c:v>-1.0219708681648201E-2</c:v>
                </c:pt>
                <c:pt idx="94" formatCode="General">
                  <c:v>1.6135956371615599E-2</c:v>
                </c:pt>
                <c:pt idx="95" formatCode="General">
                  <c:v>-1.7070210255493101E-2</c:v>
                </c:pt>
                <c:pt idx="96" formatCode="General">
                  <c:v>-9.1483464847145202E-3</c:v>
                </c:pt>
                <c:pt idx="97" formatCode="General">
                  <c:v>6.6135956679094204E-3</c:v>
                </c:pt>
                <c:pt idx="98" formatCode="General">
                  <c:v>-2.9706611053604802E-3</c:v>
                </c:pt>
                <c:pt idx="99" formatCode="General">
                  <c:v>-5.7414717003766401E-3</c:v>
                </c:pt>
                <c:pt idx="100" formatCode="General">
                  <c:v>-9.2205818037079893E-3</c:v>
                </c:pt>
                <c:pt idx="101" formatCode="General">
                  <c:v>1.39705998164099E-2</c:v>
                </c:pt>
                <c:pt idx="102" formatCode="General">
                  <c:v>-3.3732830735561099E-3</c:v>
                </c:pt>
                <c:pt idx="103" formatCode="General">
                  <c:v>7.0325395463122198E-4</c:v>
                </c:pt>
                <c:pt idx="104" formatCode="General">
                  <c:v>1.4012717638581499E-2</c:v>
                </c:pt>
                <c:pt idx="105" formatCode="General">
                  <c:v>-7.7542543873384499E-3</c:v>
                </c:pt>
                <c:pt idx="106" formatCode="General">
                  <c:v>-6.9635344398595303E-3</c:v>
                </c:pt>
                <c:pt idx="107" formatCode="General">
                  <c:v>-2.98964364443787E-3</c:v>
                </c:pt>
                <c:pt idx="108" formatCode="General">
                  <c:v>-2.0460766238091E-2</c:v>
                </c:pt>
                <c:pt idx="109" formatCode="General">
                  <c:v>9.9714473700029897E-3</c:v>
                </c:pt>
                <c:pt idx="110" formatCode="General">
                  <c:v>-5.2373576192600302E-3</c:v>
                </c:pt>
                <c:pt idx="111" formatCode="General">
                  <c:v>2.4642401478014398E-4</c:v>
                </c:pt>
                <c:pt idx="112" formatCode="General">
                  <c:v>8.33220912455967E-3</c:v>
                </c:pt>
                <c:pt idx="113" formatCode="General">
                  <c:v>1.6104613364490199E-2</c:v>
                </c:pt>
                <c:pt idx="114" formatCode="General">
                  <c:v>1.3554203930605799E-3</c:v>
                </c:pt>
                <c:pt idx="115" formatCode="General">
                  <c:v>-1.7181497702349099E-2</c:v>
                </c:pt>
                <c:pt idx="116" formatCode="General">
                  <c:v>2.6456039935786001E-2</c:v>
                </c:pt>
                <c:pt idx="117" formatCode="General">
                  <c:v>-1.01927805306591E-2</c:v>
                </c:pt>
                <c:pt idx="118" formatCode="0.00E+00">
                  <c:v>-3.3233140599239199E-3</c:v>
                </c:pt>
                <c:pt idx="119" formatCode="General">
                  <c:v>-2.17171728395236E-2</c:v>
                </c:pt>
                <c:pt idx="120" formatCode="General">
                  <c:v>1.4261381729290701E-2</c:v>
                </c:pt>
                <c:pt idx="121" formatCode="General">
                  <c:v>2.5070764418604501E-2</c:v>
                </c:pt>
                <c:pt idx="122" formatCode="General">
                  <c:v>4.2056144996605004E-3</c:v>
                </c:pt>
                <c:pt idx="123" formatCode="General">
                  <c:v>4.9613057708457397E-3</c:v>
                </c:pt>
                <c:pt idx="124" formatCode="General">
                  <c:v>-6.7746847853270504E-3</c:v>
                </c:pt>
                <c:pt idx="125" formatCode="General">
                  <c:v>1.50600778209719E-4</c:v>
                </c:pt>
                <c:pt idx="126" formatCode="General">
                  <c:v>1.7232474888460001E-2</c:v>
                </c:pt>
                <c:pt idx="127" formatCode="General">
                  <c:v>1.28164958423826E-2</c:v>
                </c:pt>
                <c:pt idx="128" formatCode="General">
                  <c:v>7.0993685312004096E-4</c:v>
                </c:pt>
                <c:pt idx="129" formatCode="General">
                  <c:v>1.3563465990189499E-3</c:v>
                </c:pt>
                <c:pt idx="130" formatCode="General">
                  <c:v>2.57356149104273E-2</c:v>
                </c:pt>
                <c:pt idx="131" formatCode="General">
                  <c:v>2.1920625939027799E-2</c:v>
                </c:pt>
                <c:pt idx="132" formatCode="General">
                  <c:v>-1.6699601245452301E-3</c:v>
                </c:pt>
                <c:pt idx="133" formatCode="General">
                  <c:v>-3.18013289111281E-2</c:v>
                </c:pt>
                <c:pt idx="134" formatCode="General">
                  <c:v>-2.6325843301756502E-3</c:v>
                </c:pt>
                <c:pt idx="135" formatCode="General">
                  <c:v>4.3511528617974299E-3</c:v>
                </c:pt>
                <c:pt idx="136" formatCode="General">
                  <c:v>1.0491906730510901E-2</c:v>
                </c:pt>
                <c:pt idx="137" formatCode="General">
                  <c:v>-1.1073778658908399E-2</c:v>
                </c:pt>
                <c:pt idx="138" formatCode="General">
                  <c:v>1.0293740687123E-2</c:v>
                </c:pt>
                <c:pt idx="139" formatCode="General">
                  <c:v>1.4886880943971901E-2</c:v>
                </c:pt>
                <c:pt idx="140" formatCode="General">
                  <c:v>-1.26445270051848E-2</c:v>
                </c:pt>
                <c:pt idx="141" formatCode="General">
                  <c:v>2.6282678509292001E-2</c:v>
                </c:pt>
                <c:pt idx="142" formatCode="General">
                  <c:v>6.6445912831476399E-3</c:v>
                </c:pt>
                <c:pt idx="143" formatCode="General">
                  <c:v>-1.7503892973722901E-2</c:v>
                </c:pt>
                <c:pt idx="144" formatCode="General">
                  <c:v>-5.8945768883515097E-2</c:v>
                </c:pt>
                <c:pt idx="145" formatCode="General">
                  <c:v>-2.4689860234985601E-2</c:v>
                </c:pt>
                <c:pt idx="146" formatCode="General">
                  <c:v>2.4399862847576701E-2</c:v>
                </c:pt>
                <c:pt idx="147" formatCode="General">
                  <c:v>5.9333897435693804E-3</c:v>
                </c:pt>
                <c:pt idx="148" formatCode="General">
                  <c:v>2.6976131776125602E-2</c:v>
                </c:pt>
                <c:pt idx="149" formatCode="General">
                  <c:v>9.2431188486217196E-3</c:v>
                </c:pt>
                <c:pt idx="150" formatCode="General">
                  <c:v>-9.7091737443614195E-3</c:v>
                </c:pt>
                <c:pt idx="151" formatCode="General">
                  <c:v>1.32646858886846E-2</c:v>
                </c:pt>
                <c:pt idx="152" formatCode="General">
                  <c:v>1.37415175182211E-2</c:v>
                </c:pt>
                <c:pt idx="153" formatCode="General">
                  <c:v>6.4160115282607601E-4</c:v>
                </c:pt>
                <c:pt idx="154" formatCode="General">
                  <c:v>1.05006742858113E-2</c:v>
                </c:pt>
                <c:pt idx="155" formatCode="General">
                  <c:v>8.3286589513686905E-4</c:v>
                </c:pt>
                <c:pt idx="156" formatCode="General">
                  <c:v>-1.45438940590063E-2</c:v>
                </c:pt>
                <c:pt idx="157" formatCode="General">
                  <c:v>-1.76939782452822E-3</c:v>
                </c:pt>
                <c:pt idx="158" formatCode="General">
                  <c:v>2.5983893720669098E-3</c:v>
                </c:pt>
                <c:pt idx="159" formatCode="General">
                  <c:v>2.3445531081483999E-2</c:v>
                </c:pt>
                <c:pt idx="160" formatCode="General">
                  <c:v>-3.0426945020706102E-3</c:v>
                </c:pt>
                <c:pt idx="161" formatCode="General">
                  <c:v>-1.20109937070878E-3</c:v>
                </c:pt>
                <c:pt idx="162" formatCode="General">
                  <c:v>-7.7475141064838804E-3</c:v>
                </c:pt>
                <c:pt idx="163" formatCode="General">
                  <c:v>1.34504399151067E-2</c:v>
                </c:pt>
                <c:pt idx="164" formatCode="General">
                  <c:v>6.2117804349648403E-3</c:v>
                </c:pt>
                <c:pt idx="165" formatCode="General">
                  <c:v>-4.4664396952321099E-2</c:v>
                </c:pt>
                <c:pt idx="166" formatCode="General">
                  <c:v>6.5236598882032404E-3</c:v>
                </c:pt>
                <c:pt idx="167" formatCode="General">
                  <c:v>-5.6253254590387103E-3</c:v>
                </c:pt>
                <c:pt idx="168" formatCode="General">
                  <c:v>-1.6950929426255899E-2</c:v>
                </c:pt>
                <c:pt idx="169" formatCode="General">
                  <c:v>1.8681892050451E-2</c:v>
                </c:pt>
                <c:pt idx="170" formatCode="General">
                  <c:v>-4.38831735882192E-2</c:v>
                </c:pt>
                <c:pt idx="171" formatCode="General">
                  <c:v>8.6485742784503297E-3</c:v>
                </c:pt>
                <c:pt idx="172" formatCode="General">
                  <c:v>6.1336333987702602E-3</c:v>
                </c:pt>
                <c:pt idx="173" formatCode="General">
                  <c:v>1.0399512089547E-2</c:v>
                </c:pt>
                <c:pt idx="174" formatCode="General">
                  <c:v>1.28812993038023E-2</c:v>
                </c:pt>
                <c:pt idx="175" formatCode="General">
                  <c:v>4.7409305093570799E-4</c:v>
                </c:pt>
                <c:pt idx="176" formatCode="General">
                  <c:v>-1.6688189944710199E-3</c:v>
                </c:pt>
                <c:pt idx="177" formatCode="General">
                  <c:v>3.9725123887528198E-2</c:v>
                </c:pt>
                <c:pt idx="178" formatCode="General">
                  <c:v>-1.0717889050674501E-2</c:v>
                </c:pt>
                <c:pt idx="179" formatCode="General">
                  <c:v>-2.0464037651428601E-3</c:v>
                </c:pt>
                <c:pt idx="180" formatCode="General">
                  <c:v>1.2263230475293399E-3</c:v>
                </c:pt>
                <c:pt idx="181" formatCode="General">
                  <c:v>-1.3814655068082901E-2</c:v>
                </c:pt>
                <c:pt idx="182" formatCode="General">
                  <c:v>1.1768535665810501E-2</c:v>
                </c:pt>
                <c:pt idx="183" formatCode="General">
                  <c:v>3.1997027588461699E-3</c:v>
                </c:pt>
                <c:pt idx="184" formatCode="General">
                  <c:v>-6.8203734076693803E-3</c:v>
                </c:pt>
                <c:pt idx="185" formatCode="General">
                  <c:v>-9.9775243278933303E-3</c:v>
                </c:pt>
                <c:pt idx="186" formatCode="General">
                  <c:v>3.7129501127854902E-3</c:v>
                </c:pt>
                <c:pt idx="187" formatCode="General">
                  <c:v>-1.19717560270962E-2</c:v>
                </c:pt>
                <c:pt idx="188" formatCode="General">
                  <c:v>1.86381350438913E-2</c:v>
                </c:pt>
                <c:pt idx="189" formatCode="General">
                  <c:v>-1.09057383659438E-3</c:v>
                </c:pt>
                <c:pt idx="190" formatCode="General">
                  <c:v>3.9424451625116302E-3</c:v>
                </c:pt>
                <c:pt idx="191" formatCode="General">
                  <c:v>1.7338915408841599E-2</c:v>
                </c:pt>
                <c:pt idx="192" formatCode="General">
                  <c:v>-2.8900421161673902E-3</c:v>
                </c:pt>
                <c:pt idx="193" formatCode="General">
                  <c:v>2.49741652937733E-2</c:v>
                </c:pt>
                <c:pt idx="194" formatCode="General">
                  <c:v>1.2492760719602499E-2</c:v>
                </c:pt>
                <c:pt idx="195" formatCode="General">
                  <c:v>-7.0778597262077803E-4</c:v>
                </c:pt>
                <c:pt idx="196" formatCode="General">
                  <c:v>1.43190405429625E-2</c:v>
                </c:pt>
                <c:pt idx="197" formatCode="General">
                  <c:v>-1.6230426439768301E-3</c:v>
                </c:pt>
                <c:pt idx="198" formatCode="General">
                  <c:v>-9.4517958412099201E-4</c:v>
                </c:pt>
                <c:pt idx="199" formatCode="General">
                  <c:v>-2.0246002283881199E-2</c:v>
                </c:pt>
                <c:pt idx="200" formatCode="General">
                  <c:v>9.6562381573472801E-4</c:v>
                </c:pt>
                <c:pt idx="201" formatCode="General">
                  <c:v>-2.1222759248392602E-3</c:v>
                </c:pt>
                <c:pt idx="202" formatCode="General">
                  <c:v>1.4114438555052899E-2</c:v>
                </c:pt>
                <c:pt idx="203" formatCode="General">
                  <c:v>-2.2688321094494798E-2</c:v>
                </c:pt>
                <c:pt idx="204" formatCode="General">
                  <c:v>2.1420292678233602E-2</c:v>
                </c:pt>
                <c:pt idx="205" formatCode="General">
                  <c:v>1.33697273421939E-3</c:v>
                </c:pt>
                <c:pt idx="206" formatCode="General">
                  <c:v>2.2887600229304299E-4</c:v>
                </c:pt>
                <c:pt idx="207" formatCode="General">
                  <c:v>-1.26049696395503E-2</c:v>
                </c:pt>
                <c:pt idx="208" formatCode="General">
                  <c:v>3.0127998315783102E-3</c:v>
                </c:pt>
                <c:pt idx="209" formatCode="General">
                  <c:v>-1.51727635229867E-2</c:v>
                </c:pt>
                <c:pt idx="210" formatCode="General">
                  <c:v>3.0285296723138799E-2</c:v>
                </c:pt>
                <c:pt idx="211" formatCode="General">
                  <c:v>0.13097759909322901</c:v>
                </c:pt>
                <c:pt idx="212" formatCode="General">
                  <c:v>-2.3171915183680999E-2</c:v>
                </c:pt>
                <c:pt idx="213" formatCode="General">
                  <c:v>1.21786197564275E-2</c:v>
                </c:pt>
                <c:pt idx="214" formatCode="General">
                  <c:v>2.21973608815677E-2</c:v>
                </c:pt>
                <c:pt idx="215" formatCode="General">
                  <c:v>-1.6186870480615598E-2</c:v>
                </c:pt>
                <c:pt idx="216" formatCode="General">
                  <c:v>2.7505421518911801E-3</c:v>
                </c:pt>
                <c:pt idx="217" formatCode="General">
                  <c:v>-9.4409236110397608E-3</c:v>
                </c:pt>
                <c:pt idx="218" formatCode="General">
                  <c:v>8.3756524667801795E-3</c:v>
                </c:pt>
                <c:pt idx="219" formatCode="General">
                  <c:v>-9.3506553870463804E-3</c:v>
                </c:pt>
                <c:pt idx="220" formatCode="General">
                  <c:v>-1.12416630577805E-2</c:v>
                </c:pt>
                <c:pt idx="221" formatCode="General">
                  <c:v>9.46003970466069E-4</c:v>
                </c:pt>
                <c:pt idx="222" formatCode="General">
                  <c:v>2.4367179650906099E-2</c:v>
                </c:pt>
                <c:pt idx="223" formatCode="General">
                  <c:v>1.1189284040224101E-2</c:v>
                </c:pt>
                <c:pt idx="224" formatCode="General">
                  <c:v>4.1474499460703002E-4</c:v>
                </c:pt>
                <c:pt idx="225" formatCode="General">
                  <c:v>4.0959331760061996E-3</c:v>
                </c:pt>
                <c:pt idx="226" formatCode="General">
                  <c:v>-1.15619032566072E-4</c:v>
                </c:pt>
                <c:pt idx="227" formatCode="General">
                  <c:v>5.18642070334141E-3</c:v>
                </c:pt>
                <c:pt idx="228" formatCode="General">
                  <c:v>-1.12723027244223E-2</c:v>
                </c:pt>
                <c:pt idx="229" formatCode="General">
                  <c:v>6.1490602395908301E-4</c:v>
                </c:pt>
                <c:pt idx="230" formatCode="General">
                  <c:v>-5.5972545534336204E-3</c:v>
                </c:pt>
                <c:pt idx="231" formatCode="General">
                  <c:v>-3.19024921846844E-3</c:v>
                </c:pt>
                <c:pt idx="232" formatCode="General">
                  <c:v>4.8257455457783004E-3</c:v>
                </c:pt>
                <c:pt idx="233" formatCode="General">
                  <c:v>-9.2716075682047708E-3</c:v>
                </c:pt>
                <c:pt idx="234" formatCode="General">
                  <c:v>-1.52998820019844E-2</c:v>
                </c:pt>
                <c:pt idx="235" formatCode="General">
                  <c:v>1.2871079918356799E-2</c:v>
                </c:pt>
                <c:pt idx="236" formatCode="General">
                  <c:v>-1.6032337838284201E-3</c:v>
                </c:pt>
                <c:pt idx="237" formatCode="General">
                  <c:v>-1.03615642646223E-2</c:v>
                </c:pt>
                <c:pt idx="238" formatCode="General">
                  <c:v>1.45186282955944E-3</c:v>
                </c:pt>
                <c:pt idx="239" formatCode="General">
                  <c:v>-1.98693979064649E-2</c:v>
                </c:pt>
                <c:pt idx="240" formatCode="General">
                  <c:v>-4.25106023998367E-2</c:v>
                </c:pt>
                <c:pt idx="241" formatCode="General">
                  <c:v>6.7968927476147398E-3</c:v>
                </c:pt>
                <c:pt idx="242" formatCode="General">
                  <c:v>2.1859574297433002E-2</c:v>
                </c:pt>
                <c:pt idx="243" formatCode="General">
                  <c:v>8.2671858554550504E-3</c:v>
                </c:pt>
                <c:pt idx="244" formatCode="General">
                  <c:v>2.1041291064901799E-2</c:v>
                </c:pt>
                <c:pt idx="245" formatCode="General">
                  <c:v>-2.6767748544237399E-3</c:v>
                </c:pt>
                <c:pt idx="246" formatCode="General">
                  <c:v>-8.6884502910466992E-3</c:v>
                </c:pt>
                <c:pt idx="247" formatCode="General">
                  <c:v>-4.5645543341391497E-3</c:v>
                </c:pt>
                <c:pt idx="248" formatCode="General">
                  <c:v>-1.6214675190908601E-3</c:v>
                </c:pt>
                <c:pt idx="249" formatCode="General">
                  <c:v>4.1039006775453997E-3</c:v>
                </c:pt>
                <c:pt idx="250" formatCode="General">
                  <c:v>8.9744411753840403E-3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6E-40C6-BEB1-EDE71D498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991568"/>
        <c:axId val="737991208"/>
      </c:lineChart>
      <c:dateAx>
        <c:axId val="73799156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18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91208"/>
        <c:crosses val="autoZero"/>
        <c:auto val="1"/>
        <c:lblOffset val="100"/>
        <c:baseTimeUnit val="days"/>
      </c:dateAx>
      <c:valAx>
        <c:axId val="737991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991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Portfolio</a:t>
            </a:r>
            <a:r>
              <a:rPr lang="en-US" baseline="0"/>
              <a:t> Composition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070-44FE-A038-DE4597557BD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070-44FE-A038-DE4597557BD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1070-44FE-A038-DE4597557BD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070-44FE-A038-DE4597557BD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070-44FE-A038-DE4597557BDE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070-44FE-A038-DE4597557BDE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070-44FE-A038-DE4597557BDE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1070-44FE-A038-DE4597557BDE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1070-44FE-A038-DE4597557BDE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1070-44FE-A038-DE4597557BDE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PORTFOLIO!$C$2:$C$11</c:f>
              <c:strCache>
                <c:ptCount val="10"/>
                <c:pt idx="0">
                  <c:v>3M</c:v>
                </c:pt>
                <c:pt idx="1">
                  <c:v>Alphabet Inc. (Class A)</c:v>
                </c:pt>
                <c:pt idx="2">
                  <c:v>Coca-Cola Company (The)</c:v>
                </c:pt>
                <c:pt idx="3">
                  <c:v>Hewlett Packard Enterprise</c:v>
                </c:pt>
                <c:pt idx="4">
                  <c:v>McDonald's</c:v>
                </c:pt>
                <c:pt idx="5">
                  <c:v>Goldman Sachs</c:v>
                </c:pt>
                <c:pt idx="6">
                  <c:v>Visa Inc.</c:v>
                </c:pt>
                <c:pt idx="7">
                  <c:v>Aflac</c:v>
                </c:pt>
                <c:pt idx="8">
                  <c:v>Abbott Laboratories</c:v>
                </c:pt>
                <c:pt idx="9">
                  <c:v>Adobe Inc.</c:v>
                </c:pt>
              </c:strCache>
            </c:strRef>
          </c:cat>
          <c:val>
            <c:numRef>
              <c:f>PORTFOLIO!$E$2:$E$11</c:f>
              <c:numCache>
                <c:formatCode>0.00</c:formatCode>
                <c:ptCount val="10"/>
                <c:pt idx="0">
                  <c:v>0.1</c:v>
                </c:pt>
                <c:pt idx="1">
                  <c:v>0.1</c:v>
                </c:pt>
                <c:pt idx="2">
                  <c:v>0.05</c:v>
                </c:pt>
                <c:pt idx="3">
                  <c:v>0.15</c:v>
                </c:pt>
                <c:pt idx="4">
                  <c:v>0.4</c:v>
                </c:pt>
                <c:pt idx="5">
                  <c:v>0.1</c:v>
                </c:pt>
                <c:pt idx="6">
                  <c:v>0.1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A-4E11-B0DB-FF9861A44DB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'PORTFOLIO DATA'!$B$1</c:f>
              <c:strCache>
                <c:ptCount val="1"/>
                <c:pt idx="0">
                  <c:v>Returns</c:v>
                </c:pt>
              </c:strCache>
            </c:strRef>
          </c:tx>
          <c:spPr>
            <a:ln w="28575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'PORTFOLIO DATA'!$A$2:$A$252</c:f>
              <c:numCache>
                <c:formatCode>m/d/yyyy</c:formatCode>
                <c:ptCount val="251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45307</c:v>
                </c:pt>
                <c:pt idx="5">
                  <c:v>45308</c:v>
                </c:pt>
                <c:pt idx="6">
                  <c:v>45309</c:v>
                </c:pt>
                <c:pt idx="7">
                  <c:v>45310</c:v>
                </c:pt>
                <c:pt idx="8">
                  <c:v>45313</c:v>
                </c:pt>
                <c:pt idx="9">
                  <c:v>45314</c:v>
                </c:pt>
                <c:pt idx="10">
                  <c:v>45315</c:v>
                </c:pt>
                <c:pt idx="11">
                  <c:v>45316</c:v>
                </c:pt>
                <c:pt idx="12">
                  <c:v>45317</c:v>
                </c:pt>
                <c:pt idx="13">
                  <c:v>45320</c:v>
                </c:pt>
                <c:pt idx="14">
                  <c:v>45321</c:v>
                </c:pt>
                <c:pt idx="15">
                  <c:v>45322</c:v>
                </c:pt>
                <c:pt idx="16">
                  <c:v>45323</c:v>
                </c:pt>
                <c:pt idx="17">
                  <c:v>45324</c:v>
                </c:pt>
                <c:pt idx="18">
                  <c:v>45327</c:v>
                </c:pt>
                <c:pt idx="19">
                  <c:v>45328</c:v>
                </c:pt>
                <c:pt idx="20">
                  <c:v>45329</c:v>
                </c:pt>
                <c:pt idx="21">
                  <c:v>45330</c:v>
                </c:pt>
                <c:pt idx="22">
                  <c:v>45331</c:v>
                </c:pt>
                <c:pt idx="23">
                  <c:v>45334</c:v>
                </c:pt>
                <c:pt idx="24">
                  <c:v>45335</c:v>
                </c:pt>
                <c:pt idx="25">
                  <c:v>45336</c:v>
                </c:pt>
                <c:pt idx="26">
                  <c:v>45337</c:v>
                </c:pt>
                <c:pt idx="27">
                  <c:v>45338</c:v>
                </c:pt>
                <c:pt idx="28">
                  <c:v>45342</c:v>
                </c:pt>
                <c:pt idx="29">
                  <c:v>45343</c:v>
                </c:pt>
                <c:pt idx="30">
                  <c:v>45344</c:v>
                </c:pt>
                <c:pt idx="31">
                  <c:v>45345</c:v>
                </c:pt>
                <c:pt idx="32">
                  <c:v>45348</c:v>
                </c:pt>
                <c:pt idx="33">
                  <c:v>45349</c:v>
                </c:pt>
                <c:pt idx="34">
                  <c:v>45350</c:v>
                </c:pt>
                <c:pt idx="35">
                  <c:v>45351</c:v>
                </c:pt>
                <c:pt idx="36">
                  <c:v>45352</c:v>
                </c:pt>
                <c:pt idx="37">
                  <c:v>45355</c:v>
                </c:pt>
                <c:pt idx="38">
                  <c:v>45356</c:v>
                </c:pt>
                <c:pt idx="39">
                  <c:v>45357</c:v>
                </c:pt>
                <c:pt idx="40">
                  <c:v>45358</c:v>
                </c:pt>
                <c:pt idx="41">
                  <c:v>45359</c:v>
                </c:pt>
                <c:pt idx="42">
                  <c:v>45362</c:v>
                </c:pt>
                <c:pt idx="43">
                  <c:v>45363</c:v>
                </c:pt>
                <c:pt idx="44">
                  <c:v>45364</c:v>
                </c:pt>
                <c:pt idx="45">
                  <c:v>45365</c:v>
                </c:pt>
                <c:pt idx="46">
                  <c:v>45366</c:v>
                </c:pt>
                <c:pt idx="47">
                  <c:v>45369</c:v>
                </c:pt>
                <c:pt idx="48">
                  <c:v>45370</c:v>
                </c:pt>
                <c:pt idx="49">
                  <c:v>45371</c:v>
                </c:pt>
                <c:pt idx="50">
                  <c:v>45372</c:v>
                </c:pt>
                <c:pt idx="51">
                  <c:v>45373</c:v>
                </c:pt>
                <c:pt idx="52">
                  <c:v>45376</c:v>
                </c:pt>
                <c:pt idx="53">
                  <c:v>45377</c:v>
                </c:pt>
                <c:pt idx="54">
                  <c:v>45378</c:v>
                </c:pt>
                <c:pt idx="55">
                  <c:v>45379</c:v>
                </c:pt>
                <c:pt idx="56">
                  <c:v>45383</c:v>
                </c:pt>
                <c:pt idx="57">
                  <c:v>45384</c:v>
                </c:pt>
                <c:pt idx="58">
                  <c:v>45385</c:v>
                </c:pt>
                <c:pt idx="59">
                  <c:v>45386</c:v>
                </c:pt>
                <c:pt idx="60">
                  <c:v>45387</c:v>
                </c:pt>
                <c:pt idx="61">
                  <c:v>45390</c:v>
                </c:pt>
                <c:pt idx="62">
                  <c:v>45391</c:v>
                </c:pt>
                <c:pt idx="63">
                  <c:v>45392</c:v>
                </c:pt>
                <c:pt idx="64">
                  <c:v>45393</c:v>
                </c:pt>
                <c:pt idx="65">
                  <c:v>45394</c:v>
                </c:pt>
                <c:pt idx="66">
                  <c:v>45397</c:v>
                </c:pt>
                <c:pt idx="67">
                  <c:v>45398</c:v>
                </c:pt>
                <c:pt idx="68">
                  <c:v>45399</c:v>
                </c:pt>
                <c:pt idx="69">
                  <c:v>45400</c:v>
                </c:pt>
                <c:pt idx="70">
                  <c:v>45401</c:v>
                </c:pt>
                <c:pt idx="71">
                  <c:v>45404</c:v>
                </c:pt>
                <c:pt idx="72">
                  <c:v>45405</c:v>
                </c:pt>
                <c:pt idx="73">
                  <c:v>45406</c:v>
                </c:pt>
                <c:pt idx="74">
                  <c:v>45407</c:v>
                </c:pt>
                <c:pt idx="75">
                  <c:v>45408</c:v>
                </c:pt>
                <c:pt idx="76">
                  <c:v>45411</c:v>
                </c:pt>
                <c:pt idx="77">
                  <c:v>45412</c:v>
                </c:pt>
                <c:pt idx="78">
                  <c:v>45413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45427</c:v>
                </c:pt>
                <c:pt idx="89">
                  <c:v>45428</c:v>
                </c:pt>
                <c:pt idx="90">
                  <c:v>45429</c:v>
                </c:pt>
                <c:pt idx="91">
                  <c:v>45432</c:v>
                </c:pt>
                <c:pt idx="92">
                  <c:v>45433</c:v>
                </c:pt>
                <c:pt idx="93">
                  <c:v>45434</c:v>
                </c:pt>
                <c:pt idx="94">
                  <c:v>45435</c:v>
                </c:pt>
                <c:pt idx="95">
                  <c:v>45436</c:v>
                </c:pt>
                <c:pt idx="96">
                  <c:v>45440</c:v>
                </c:pt>
                <c:pt idx="97">
                  <c:v>45441</c:v>
                </c:pt>
                <c:pt idx="98">
                  <c:v>45442</c:v>
                </c:pt>
                <c:pt idx="99">
                  <c:v>45443</c:v>
                </c:pt>
                <c:pt idx="100">
                  <c:v>45446</c:v>
                </c:pt>
                <c:pt idx="101">
                  <c:v>45447</c:v>
                </c:pt>
                <c:pt idx="102">
                  <c:v>45448</c:v>
                </c:pt>
                <c:pt idx="103">
                  <c:v>45449</c:v>
                </c:pt>
                <c:pt idx="104">
                  <c:v>45450</c:v>
                </c:pt>
                <c:pt idx="105">
                  <c:v>45453</c:v>
                </c:pt>
                <c:pt idx="106">
                  <c:v>45454</c:v>
                </c:pt>
                <c:pt idx="107">
                  <c:v>45455</c:v>
                </c:pt>
                <c:pt idx="108">
                  <c:v>45456</c:v>
                </c:pt>
                <c:pt idx="109">
                  <c:v>45457</c:v>
                </c:pt>
                <c:pt idx="110">
                  <c:v>45460</c:v>
                </c:pt>
                <c:pt idx="111">
                  <c:v>45461</c:v>
                </c:pt>
                <c:pt idx="112">
                  <c:v>45463</c:v>
                </c:pt>
                <c:pt idx="113">
                  <c:v>45464</c:v>
                </c:pt>
                <c:pt idx="114">
                  <c:v>45467</c:v>
                </c:pt>
                <c:pt idx="115">
                  <c:v>45468</c:v>
                </c:pt>
                <c:pt idx="116">
                  <c:v>45469</c:v>
                </c:pt>
                <c:pt idx="117">
                  <c:v>45470</c:v>
                </c:pt>
                <c:pt idx="118">
                  <c:v>45471</c:v>
                </c:pt>
                <c:pt idx="119">
                  <c:v>45474</c:v>
                </c:pt>
                <c:pt idx="120">
                  <c:v>45475</c:v>
                </c:pt>
                <c:pt idx="121">
                  <c:v>45476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45538</c:v>
                </c:pt>
                <c:pt idx="164">
                  <c:v>45539</c:v>
                </c:pt>
                <c:pt idx="165">
                  <c:v>45540</c:v>
                </c:pt>
                <c:pt idx="166">
                  <c:v>45541</c:v>
                </c:pt>
                <c:pt idx="167">
                  <c:v>45544</c:v>
                </c:pt>
                <c:pt idx="168">
                  <c:v>45545</c:v>
                </c:pt>
                <c:pt idx="169">
                  <c:v>45546</c:v>
                </c:pt>
                <c:pt idx="170">
                  <c:v>45547</c:v>
                </c:pt>
                <c:pt idx="171">
                  <c:v>45548</c:v>
                </c:pt>
                <c:pt idx="172">
                  <c:v>45551</c:v>
                </c:pt>
                <c:pt idx="173">
                  <c:v>45552</c:v>
                </c:pt>
                <c:pt idx="174">
                  <c:v>45553</c:v>
                </c:pt>
                <c:pt idx="175">
                  <c:v>45554</c:v>
                </c:pt>
                <c:pt idx="176">
                  <c:v>45555</c:v>
                </c:pt>
                <c:pt idx="177">
                  <c:v>45558</c:v>
                </c:pt>
                <c:pt idx="178">
                  <c:v>45559</c:v>
                </c:pt>
                <c:pt idx="179">
                  <c:v>45560</c:v>
                </c:pt>
                <c:pt idx="180">
                  <c:v>45561</c:v>
                </c:pt>
                <c:pt idx="181">
                  <c:v>45562</c:v>
                </c:pt>
                <c:pt idx="182">
                  <c:v>45565</c:v>
                </c:pt>
                <c:pt idx="183">
                  <c:v>45566</c:v>
                </c:pt>
                <c:pt idx="184">
                  <c:v>45567</c:v>
                </c:pt>
                <c:pt idx="185">
                  <c:v>45568</c:v>
                </c:pt>
                <c:pt idx="186">
                  <c:v>45569</c:v>
                </c:pt>
                <c:pt idx="187">
                  <c:v>45572</c:v>
                </c:pt>
                <c:pt idx="188">
                  <c:v>45573</c:v>
                </c:pt>
                <c:pt idx="189">
                  <c:v>45574</c:v>
                </c:pt>
                <c:pt idx="190">
                  <c:v>45575</c:v>
                </c:pt>
                <c:pt idx="191">
                  <c:v>45576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45586</c:v>
                </c:pt>
                <c:pt idx="198">
                  <c:v>45587</c:v>
                </c:pt>
                <c:pt idx="199">
                  <c:v>45588</c:v>
                </c:pt>
                <c:pt idx="200">
                  <c:v>45589</c:v>
                </c:pt>
                <c:pt idx="201">
                  <c:v>45590</c:v>
                </c:pt>
                <c:pt idx="202">
                  <c:v>45593</c:v>
                </c:pt>
                <c:pt idx="203">
                  <c:v>45594</c:v>
                </c:pt>
                <c:pt idx="204">
                  <c:v>45595</c:v>
                </c:pt>
                <c:pt idx="205">
                  <c:v>45596</c:v>
                </c:pt>
                <c:pt idx="206">
                  <c:v>45597</c:v>
                </c:pt>
                <c:pt idx="207">
                  <c:v>45600</c:v>
                </c:pt>
                <c:pt idx="208">
                  <c:v>45601</c:v>
                </c:pt>
                <c:pt idx="209">
                  <c:v>45602</c:v>
                </c:pt>
                <c:pt idx="210">
                  <c:v>45603</c:v>
                </c:pt>
                <c:pt idx="211">
                  <c:v>45604</c:v>
                </c:pt>
                <c:pt idx="212">
                  <c:v>45607</c:v>
                </c:pt>
                <c:pt idx="213">
                  <c:v>45608</c:v>
                </c:pt>
                <c:pt idx="214">
                  <c:v>45609</c:v>
                </c:pt>
                <c:pt idx="215">
                  <c:v>45610</c:v>
                </c:pt>
                <c:pt idx="216">
                  <c:v>45611</c:v>
                </c:pt>
                <c:pt idx="217">
                  <c:v>45614</c:v>
                </c:pt>
                <c:pt idx="218">
                  <c:v>45615</c:v>
                </c:pt>
                <c:pt idx="219">
                  <c:v>45616</c:v>
                </c:pt>
                <c:pt idx="220">
                  <c:v>45617</c:v>
                </c:pt>
                <c:pt idx="221">
                  <c:v>45618</c:v>
                </c:pt>
                <c:pt idx="222">
                  <c:v>45621</c:v>
                </c:pt>
                <c:pt idx="223">
                  <c:v>45622</c:v>
                </c:pt>
                <c:pt idx="224">
                  <c:v>45623</c:v>
                </c:pt>
                <c:pt idx="225">
                  <c:v>45625</c:v>
                </c:pt>
                <c:pt idx="226">
                  <c:v>45628</c:v>
                </c:pt>
                <c:pt idx="227">
                  <c:v>45629</c:v>
                </c:pt>
                <c:pt idx="228">
                  <c:v>45630</c:v>
                </c:pt>
                <c:pt idx="229">
                  <c:v>45631</c:v>
                </c:pt>
                <c:pt idx="230">
                  <c:v>45632</c:v>
                </c:pt>
                <c:pt idx="231">
                  <c:v>45635</c:v>
                </c:pt>
                <c:pt idx="232">
                  <c:v>45636</c:v>
                </c:pt>
                <c:pt idx="233">
                  <c:v>45637</c:v>
                </c:pt>
                <c:pt idx="234">
                  <c:v>45638</c:v>
                </c:pt>
                <c:pt idx="235">
                  <c:v>45639</c:v>
                </c:pt>
                <c:pt idx="236">
                  <c:v>45642</c:v>
                </c:pt>
                <c:pt idx="237">
                  <c:v>45643</c:v>
                </c:pt>
                <c:pt idx="238">
                  <c:v>45644</c:v>
                </c:pt>
                <c:pt idx="239">
                  <c:v>45645</c:v>
                </c:pt>
                <c:pt idx="240">
                  <c:v>45646</c:v>
                </c:pt>
                <c:pt idx="241">
                  <c:v>45649</c:v>
                </c:pt>
                <c:pt idx="242">
                  <c:v>45650</c:v>
                </c:pt>
                <c:pt idx="243">
                  <c:v>45652</c:v>
                </c:pt>
                <c:pt idx="244">
                  <c:v>45653</c:v>
                </c:pt>
                <c:pt idx="245">
                  <c:v>45656</c:v>
                </c:pt>
                <c:pt idx="246">
                  <c:v>45657</c:v>
                </c:pt>
                <c:pt idx="247">
                  <c:v>45659</c:v>
                </c:pt>
                <c:pt idx="248">
                  <c:v>45660</c:v>
                </c:pt>
                <c:pt idx="249">
                  <c:v>45663</c:v>
                </c:pt>
                <c:pt idx="250">
                  <c:v>45664</c:v>
                </c:pt>
              </c:numCache>
            </c:numRef>
          </c:cat>
          <c:val>
            <c:numRef>
              <c:f>'PORTFOLIO DATA'!$B$2:$B$252</c:f>
              <c:numCache>
                <c:formatCode>General</c:formatCode>
                <c:ptCount val="251"/>
                <c:pt idx="0">
                  <c:v>-1.4153197795343801E-2</c:v>
                </c:pt>
                <c:pt idx="1">
                  <c:v>7.50350808299775E-3</c:v>
                </c:pt>
                <c:pt idx="2">
                  <c:v>-1.1370887210111801E-3</c:v>
                </c:pt>
                <c:pt idx="3">
                  <c:v>-5.6450676861941997E-3</c:v>
                </c:pt>
                <c:pt idx="4">
                  <c:v>-8.4865613189485292E-3</c:v>
                </c:pt>
                <c:pt idx="5">
                  <c:v>-5.0496657451146402E-3</c:v>
                </c:pt>
                <c:pt idx="6">
                  <c:v>5.9948607506776098E-3</c:v>
                </c:pt>
                <c:pt idx="7">
                  <c:v>1.7915153705273301E-2</c:v>
                </c:pt>
                <c:pt idx="8">
                  <c:v>-7.0090646360836898E-4</c:v>
                </c:pt>
                <c:pt idx="9">
                  <c:v>-9.2050059686706407E-3</c:v>
                </c:pt>
                <c:pt idx="10">
                  <c:v>1.87632827861033E-4</c:v>
                </c:pt>
                <c:pt idx="11">
                  <c:v>3.7282866532574398E-3</c:v>
                </c:pt>
                <c:pt idx="12" formatCode="0.00E+00">
                  <c:v>-1.0013168175197E-2</c:v>
                </c:pt>
                <c:pt idx="13">
                  <c:v>4.13448183666281E-3</c:v>
                </c:pt>
                <c:pt idx="14">
                  <c:v>5.1431132068121598E-3</c:v>
                </c:pt>
                <c:pt idx="15">
                  <c:v>-1.9731509277964399E-2</c:v>
                </c:pt>
                <c:pt idx="16">
                  <c:v>1.30187158096133E-2</c:v>
                </c:pt>
                <c:pt idx="17">
                  <c:v>-3.83193072028026E-4</c:v>
                </c:pt>
                <c:pt idx="18">
                  <c:v>-1.9766172499435099E-2</c:v>
                </c:pt>
                <c:pt idx="19">
                  <c:v>4.1602890031401901E-4</c:v>
                </c:pt>
                <c:pt idx="20">
                  <c:v>6.0800255868380402E-3</c:v>
                </c:pt>
                <c:pt idx="21">
                  <c:v>6.6747924321088302E-3</c:v>
                </c:pt>
                <c:pt idx="22">
                  <c:v>-1.9609206193606098E-3</c:v>
                </c:pt>
                <c:pt idx="23">
                  <c:v>3.90027839130389E-3</c:v>
                </c:pt>
                <c:pt idx="24">
                  <c:v>-1.4135065780687101E-2</c:v>
                </c:pt>
                <c:pt idx="25">
                  <c:v>2.1655075232546298E-3</c:v>
                </c:pt>
                <c:pt idx="26">
                  <c:v>8.1394135663760796E-3</c:v>
                </c:pt>
                <c:pt idx="27">
                  <c:v>-6.94766701383731E-3</c:v>
                </c:pt>
                <c:pt idx="28">
                  <c:v>2.6179041334971802E-3</c:v>
                </c:pt>
                <c:pt idx="29">
                  <c:v>3.6215457591350399E-3</c:v>
                </c:pt>
                <c:pt idx="30">
                  <c:v>9.0112933242576208E-3</c:v>
                </c:pt>
                <c:pt idx="31">
                  <c:v>3.2976061418241E-3</c:v>
                </c:pt>
                <c:pt idx="32">
                  <c:v>-8.3114781735714998E-3</c:v>
                </c:pt>
                <c:pt idx="33">
                  <c:v>-3.9487108780711499E-3</c:v>
                </c:pt>
                <c:pt idx="34">
                  <c:v>1.17261249547492E-3</c:v>
                </c:pt>
                <c:pt idx="35">
                  <c:v>1.87999488613451E-3</c:v>
                </c:pt>
                <c:pt idx="36">
                  <c:v>-5.7504361080654696E-4</c:v>
                </c:pt>
                <c:pt idx="37">
                  <c:v>1.2771493462704E-2</c:v>
                </c:pt>
                <c:pt idx="38">
                  <c:v>1.03719380087981E-2</c:v>
                </c:pt>
                <c:pt idx="39">
                  <c:v>5.0032216419810599E-3</c:v>
                </c:pt>
                <c:pt idx="40">
                  <c:v>-5.98300913217132E-3</c:v>
                </c:pt>
                <c:pt idx="41">
                  <c:v>2.8957484656606798E-3</c:v>
                </c:pt>
                <c:pt idx="42">
                  <c:v>5.9254242397419696E-3</c:v>
                </c:pt>
                <c:pt idx="43">
                  <c:v>6.8960423684010803E-3</c:v>
                </c:pt>
                <c:pt idx="44">
                  <c:v>-8.4515527923923698E-3</c:v>
                </c:pt>
                <c:pt idx="45">
                  <c:v>-2.7778679113508102E-3</c:v>
                </c:pt>
                <c:pt idx="46">
                  <c:v>-1.20905992222845E-2</c:v>
                </c:pt>
                <c:pt idx="47">
                  <c:v>6.7552942242204497E-3</c:v>
                </c:pt>
                <c:pt idx="48">
                  <c:v>5.7601130421242701E-3</c:v>
                </c:pt>
                <c:pt idx="49">
                  <c:v>1.0500017954202599E-2</c:v>
                </c:pt>
                <c:pt idx="50">
                  <c:v>4.6933423256278499E-3</c:v>
                </c:pt>
                <c:pt idx="51">
                  <c:v>-2.83537669115078E-3</c:v>
                </c:pt>
                <c:pt idx="52">
                  <c:v>-8.7848498200726807E-3</c:v>
                </c:pt>
                <c:pt idx="53">
                  <c:v>8.2196782245308399E-4</c:v>
                </c:pt>
                <c:pt idx="54">
                  <c:v>8.82869759222152E-3</c:v>
                </c:pt>
                <c:pt idx="55">
                  <c:v>2.5968746119929098E-3</c:v>
                </c:pt>
                <c:pt idx="56">
                  <c:v>6.6604914990734303E-3</c:v>
                </c:pt>
                <c:pt idx="57">
                  <c:v>-8.5917292304281707E-3</c:v>
                </c:pt>
                <c:pt idx="58">
                  <c:v>1.7351993857180801E-3</c:v>
                </c:pt>
                <c:pt idx="59">
                  <c:v>-1.90343392590821E-2</c:v>
                </c:pt>
                <c:pt idx="60">
                  <c:v>-9.1268835711160097E-4</c:v>
                </c:pt>
                <c:pt idx="61">
                  <c:v>5.6285737255006799E-3</c:v>
                </c:pt>
                <c:pt idx="62">
                  <c:v>3.73475044977859E-3</c:v>
                </c:pt>
                <c:pt idx="63">
                  <c:v>-5.4836820056625504E-3</c:v>
                </c:pt>
                <c:pt idx="64">
                  <c:v>1.84264417045603E-3</c:v>
                </c:pt>
                <c:pt idx="65">
                  <c:v>-1.1800750414328799E-2</c:v>
                </c:pt>
                <c:pt idx="66">
                  <c:v>-3.8351996015816201E-3</c:v>
                </c:pt>
                <c:pt idx="67">
                  <c:v>-3.8615369826693201E-3</c:v>
                </c:pt>
                <c:pt idx="68">
                  <c:v>9.1009942870950294E-3</c:v>
                </c:pt>
                <c:pt idx="69">
                  <c:v>2.1929576942592999E-3</c:v>
                </c:pt>
                <c:pt idx="70">
                  <c:v>-3.7270066615869202E-4</c:v>
                </c:pt>
                <c:pt idx="71">
                  <c:v>1.2002984121793899E-2</c:v>
                </c:pt>
                <c:pt idx="72">
                  <c:v>5.8854819228437699E-3</c:v>
                </c:pt>
                <c:pt idx="73">
                  <c:v>1.0553750578015399E-3</c:v>
                </c:pt>
                <c:pt idx="74">
                  <c:v>-4.4391647245875998E-3</c:v>
                </c:pt>
                <c:pt idx="75">
                  <c:v>1.0366339841771001E-2</c:v>
                </c:pt>
                <c:pt idx="76">
                  <c:v>-2.22812922907772E-3</c:v>
                </c:pt>
                <c:pt idx="77">
                  <c:v>-1.9829675061420601E-3</c:v>
                </c:pt>
                <c:pt idx="78">
                  <c:v>-5.3611910447853199E-4</c:v>
                </c:pt>
                <c:pt idx="79">
                  <c:v>6.46713021149314E-4</c:v>
                </c:pt>
                <c:pt idx="80">
                  <c:v>1.1562682925918299E-3</c:v>
                </c:pt>
                <c:pt idx="81">
                  <c:v>4.0520077781077196E-3</c:v>
                </c:pt>
                <c:pt idx="82">
                  <c:v>-2.8733408352940798E-3</c:v>
                </c:pt>
                <c:pt idx="83">
                  <c:v>5.2406323145713102E-3</c:v>
                </c:pt>
                <c:pt idx="84">
                  <c:v>1.9446745370436001E-3</c:v>
                </c:pt>
                <c:pt idx="85" formatCode="0.00E+00">
                  <c:v>1.23071868858491E-2</c:v>
                </c:pt>
                <c:pt idx="86">
                  <c:v>-2.0262236020959202E-3</c:v>
                </c:pt>
                <c:pt idx="87">
                  <c:v>2.6329180401356701E-3</c:v>
                </c:pt>
                <c:pt idx="88">
                  <c:v>1.29360456699003E-2</c:v>
                </c:pt>
                <c:pt idx="89">
                  <c:v>2.75808213262164E-3</c:v>
                </c:pt>
                <c:pt idx="90">
                  <c:v>1.0951098389525E-4</c:v>
                </c:pt>
                <c:pt idx="91">
                  <c:v>-8.6299067787328002E-3</c:v>
                </c:pt>
                <c:pt idx="92">
                  <c:v>-3.6414771546668398E-3</c:v>
                </c:pt>
                <c:pt idx="93">
                  <c:v>-1.22485588177918E-3</c:v>
                </c:pt>
                <c:pt idx="94">
                  <c:v>-1.6057216871968899E-2</c:v>
                </c:pt>
                <c:pt idx="95">
                  <c:v>3.3513614619776E-3</c:v>
                </c:pt>
                <c:pt idx="96">
                  <c:v>-8.99071973667721E-3</c:v>
                </c:pt>
                <c:pt idx="97">
                  <c:v>-1.13247951019679E-2</c:v>
                </c:pt>
                <c:pt idx="98">
                  <c:v>5.8418397778867799E-3</c:v>
                </c:pt>
                <c:pt idx="99">
                  <c:v>8.5773510651607696E-3</c:v>
                </c:pt>
                <c:pt idx="100">
                  <c:v>5.3920944689977799E-3</c:v>
                </c:pt>
                <c:pt idx="101">
                  <c:v>2.48140315736039E-3</c:v>
                </c:pt>
                <c:pt idx="102">
                  <c:v>1.54038679765254E-2</c:v>
                </c:pt>
                <c:pt idx="103">
                  <c:v>2.20447821441388E-3</c:v>
                </c:pt>
                <c:pt idx="104">
                  <c:v>-2.4418728717225499E-3</c:v>
                </c:pt>
                <c:pt idx="105">
                  <c:v>-1.17306448089531E-3</c:v>
                </c:pt>
                <c:pt idx="106">
                  <c:v>-1.14257027621794E-4</c:v>
                </c:pt>
                <c:pt idx="107">
                  <c:v>2.3082458763419799E-3</c:v>
                </c:pt>
                <c:pt idx="108">
                  <c:v>3.60389265306626E-3</c:v>
                </c:pt>
                <c:pt idx="109">
                  <c:v>-1.12661617616802E-3</c:v>
                </c:pt>
                <c:pt idx="110" formatCode="0.00E+00">
                  <c:v>1.27166424627979E-3</c:v>
                </c:pt>
                <c:pt idx="111" formatCode="0.00E+00">
                  <c:v>-5.8436817797929898E-4</c:v>
                </c:pt>
                <c:pt idx="112">
                  <c:v>4.8484029301843297E-3</c:v>
                </c:pt>
                <c:pt idx="113" formatCode="0.00E+00">
                  <c:v>5.6846744131343703E-3</c:v>
                </c:pt>
                <c:pt idx="114">
                  <c:v>2.6517192616320301E-3</c:v>
                </c:pt>
                <c:pt idx="115">
                  <c:v>-1.9784776866781399E-4</c:v>
                </c:pt>
                <c:pt idx="116">
                  <c:v>-1.5328659851473799E-3</c:v>
                </c:pt>
                <c:pt idx="117">
                  <c:v>-9.2768874958287198E-4</c:v>
                </c:pt>
                <c:pt idx="118">
                  <c:v>-7.2634989740824598E-3</c:v>
                </c:pt>
                <c:pt idx="119">
                  <c:v>-6.2586628314841098E-3</c:v>
                </c:pt>
                <c:pt idx="120">
                  <c:v>6.4322139715234305E-4</c:v>
                </c:pt>
                <c:pt idx="121">
                  <c:v>1.60658480905979E-3</c:v>
                </c:pt>
                <c:pt idx="122">
                  <c:v>3.3216721196777398E-3</c:v>
                </c:pt>
                <c:pt idx="123">
                  <c:v>-5.7975923156414104E-3</c:v>
                </c:pt>
                <c:pt idx="124" formatCode="0.00E+00">
                  <c:v>-9.63844056265156E-4</c:v>
                </c:pt>
                <c:pt idx="125">
                  <c:v>1.19293020466934E-2</c:v>
                </c:pt>
                <c:pt idx="126" formatCode="0.00E+00">
                  <c:v>4.5433765233465397E-3</c:v>
                </c:pt>
                <c:pt idx="127">
                  <c:v>7.1615103414382497E-4</c:v>
                </c:pt>
                <c:pt idx="128">
                  <c:v>1.0652320200539001E-3</c:v>
                </c:pt>
                <c:pt idx="129">
                  <c:v>1.14014432336182E-2</c:v>
                </c:pt>
                <c:pt idx="130">
                  <c:v>3.0159251894416599E-3</c:v>
                </c:pt>
                <c:pt idx="131">
                  <c:v>-1.02066753115763E-2</c:v>
                </c:pt>
                <c:pt idx="132">
                  <c:v>-6.5018900821213503E-3</c:v>
                </c:pt>
                <c:pt idx="133">
                  <c:v>8.4713269946830195E-3</c:v>
                </c:pt>
                <c:pt idx="134">
                  <c:v>-8.8828249407065397E-3</c:v>
                </c:pt>
                <c:pt idx="135">
                  <c:v>-1.5564844188401599E-2</c:v>
                </c:pt>
                <c:pt idx="136">
                  <c:v>-9.4098853725800308E-3</c:v>
                </c:pt>
                <c:pt idx="137">
                  <c:v>3.05575444216661E-2</c:v>
                </c:pt>
                <c:pt idx="138">
                  <c:v>1.1633985432110401E-2</c:v>
                </c:pt>
                <c:pt idx="139">
                  <c:v>1.01461522225526E-2</c:v>
                </c:pt>
                <c:pt idx="140">
                  <c:v>7.8522083430676293E-3</c:v>
                </c:pt>
                <c:pt idx="141">
                  <c:v>-3.2440913424059401E-3</c:v>
                </c:pt>
                <c:pt idx="142">
                  <c:v>-4.45281228337007E-3</c:v>
                </c:pt>
                <c:pt idx="143">
                  <c:v>-2.9678477069132E-2</c:v>
                </c:pt>
                <c:pt idx="144">
                  <c:v>4.2692522412722004E-3</c:v>
                </c:pt>
                <c:pt idx="145">
                  <c:v>-6.6487179563021904E-3</c:v>
                </c:pt>
                <c:pt idx="146">
                  <c:v>1.5997482716626401E-2</c:v>
                </c:pt>
                <c:pt idx="147">
                  <c:v>-3.2715149158184E-3</c:v>
                </c:pt>
                <c:pt idx="148">
                  <c:v>-1.7710386395116001E-3</c:v>
                </c:pt>
                <c:pt idx="149">
                  <c:v>1.0981583991950299E-2</c:v>
                </c:pt>
                <c:pt idx="150" formatCode="0.00E+00">
                  <c:v>1.26999961058577E-3</c:v>
                </c:pt>
                <c:pt idx="151">
                  <c:v>1.7402665905293602E-2</c:v>
                </c:pt>
                <c:pt idx="152">
                  <c:v>7.1443903231003403E-3</c:v>
                </c:pt>
                <c:pt idx="153">
                  <c:v>1.65988895216602E-2</c:v>
                </c:pt>
                <c:pt idx="154">
                  <c:v>-3.3261668251002899E-3</c:v>
                </c:pt>
                <c:pt idx="155">
                  <c:v>7.01497005430374E-3</c:v>
                </c:pt>
                <c:pt idx="156">
                  <c:v>-3.2974265513042601E-3</c:v>
                </c:pt>
                <c:pt idx="157">
                  <c:v>9.0621246820180995E-3</c:v>
                </c:pt>
                <c:pt idx="158" formatCode="0.00E+00">
                  <c:v>1.2074192181049401E-3</c:v>
                </c:pt>
                <c:pt idx="159">
                  <c:v>7.54114406000361E-4</c:v>
                </c:pt>
                <c:pt idx="160" formatCode="0.00E+00">
                  <c:v>-6.4787257533882904E-3</c:v>
                </c:pt>
                <c:pt idx="161">
                  <c:v>2.39294535899191E-3</c:v>
                </c:pt>
                <c:pt idx="162">
                  <c:v>1.06405852241981E-2</c:v>
                </c:pt>
                <c:pt idx="163" formatCode="0.00E+00">
                  <c:v>-1.42938860765611E-2</c:v>
                </c:pt>
                <c:pt idx="164">
                  <c:v>2.6936063903570499E-3</c:v>
                </c:pt>
                <c:pt idx="165">
                  <c:v>-1.1363312616401E-2</c:v>
                </c:pt>
                <c:pt idx="166" formatCode="0.00E+00">
                  <c:v>-6.3934594352000598E-3</c:v>
                </c:pt>
                <c:pt idx="167">
                  <c:v>6.2166488310569402E-3</c:v>
                </c:pt>
                <c:pt idx="168">
                  <c:v>-1.6267957441076199E-2</c:v>
                </c:pt>
                <c:pt idx="169">
                  <c:v>3.20890517927122E-3</c:v>
                </c:pt>
                <c:pt idx="170">
                  <c:v>1.2062030304961901E-2</c:v>
                </c:pt>
                <c:pt idx="171">
                  <c:v>1.3164694520257401E-2</c:v>
                </c:pt>
                <c:pt idx="172">
                  <c:v>5.2308462658802197E-3</c:v>
                </c:pt>
                <c:pt idx="173">
                  <c:v>4.7165804169628997E-3</c:v>
                </c:pt>
                <c:pt idx="174">
                  <c:v>-2.6257123532948501E-3</c:v>
                </c:pt>
                <c:pt idx="175">
                  <c:v>1.19863780510444E-2</c:v>
                </c:pt>
                <c:pt idx="176">
                  <c:v>4.81292271485095E-3</c:v>
                </c:pt>
                <c:pt idx="177">
                  <c:v>3.9601680007102704E-3</c:v>
                </c:pt>
                <c:pt idx="178">
                  <c:v>-2.19428134000776E-3</c:v>
                </c:pt>
                <c:pt idx="179">
                  <c:v>4.5761433230440398E-3</c:v>
                </c:pt>
                <c:pt idx="180">
                  <c:v>1.27644658703195E-2</c:v>
                </c:pt>
                <c:pt idx="181">
                  <c:v>-4.0625898006296199E-4</c:v>
                </c:pt>
                <c:pt idx="182">
                  <c:v>3.4720262005379999E-3</c:v>
                </c:pt>
                <c:pt idx="183">
                  <c:v>-4.9363653186585803E-3</c:v>
                </c:pt>
                <c:pt idx="184">
                  <c:v>2.9662365550853398E-3</c:v>
                </c:pt>
                <c:pt idx="185">
                  <c:v>-3.5784739588915998E-3</c:v>
                </c:pt>
                <c:pt idx="186">
                  <c:v>5.4880024093600498E-3</c:v>
                </c:pt>
                <c:pt idx="187">
                  <c:v>-7.2640242558686804E-3</c:v>
                </c:pt>
                <c:pt idx="188">
                  <c:v>3.8721012682709E-3</c:v>
                </c:pt>
                <c:pt idx="189">
                  <c:v>3.1355467739108099E-3</c:v>
                </c:pt>
                <c:pt idx="190">
                  <c:v>-3.28984662547389E-3</c:v>
                </c:pt>
                <c:pt idx="191">
                  <c:v>6.8090637110893998E-3</c:v>
                </c:pt>
                <c:pt idx="192">
                  <c:v>1.12851206889573E-2</c:v>
                </c:pt>
                <c:pt idx="193">
                  <c:v>4.3782684613782501E-3</c:v>
                </c:pt>
                <c:pt idx="194">
                  <c:v>5.3663385980865898E-3</c:v>
                </c:pt>
                <c:pt idx="195">
                  <c:v>1.15395773426051E-3</c:v>
                </c:pt>
                <c:pt idx="196">
                  <c:v>8.4701990389829905E-4</c:v>
                </c:pt>
                <c:pt idx="197">
                  <c:v>-1.1178881967810301E-2</c:v>
                </c:pt>
                <c:pt idx="198">
                  <c:v>-3.13083503749636E-3</c:v>
                </c:pt>
                <c:pt idx="199">
                  <c:v>-3.0803614177497399E-2</c:v>
                </c:pt>
                <c:pt idx="200">
                  <c:v>4.2681443430529703E-3</c:v>
                </c:pt>
                <c:pt idx="201">
                  <c:v>-1.43035693658255E-2</c:v>
                </c:pt>
                <c:pt idx="202">
                  <c:v>1.59419543368527E-2</c:v>
                </c:pt>
                <c:pt idx="203">
                  <c:v>-1.8671463953398399E-3</c:v>
                </c:pt>
                <c:pt idx="204">
                  <c:v>3.5585248202556299E-3</c:v>
                </c:pt>
                <c:pt idx="205">
                  <c:v>-8.4957305335626402E-3</c:v>
                </c:pt>
                <c:pt idx="206">
                  <c:v>8.1427001486258296E-3</c:v>
                </c:pt>
                <c:pt idx="207">
                  <c:v>-6.9038092655227604E-3</c:v>
                </c:pt>
                <c:pt idx="208" formatCode="0.00E+00">
                  <c:v>1.05799628509305E-2</c:v>
                </c:pt>
                <c:pt idx="209">
                  <c:v>3.1977098578691701E-2</c:v>
                </c:pt>
                <c:pt idx="210">
                  <c:v>5.6987326339890104E-4</c:v>
                </c:pt>
                <c:pt idx="211">
                  <c:v>1.1774130972429299E-2</c:v>
                </c:pt>
                <c:pt idx="212">
                  <c:v>6.1852787091805196E-3</c:v>
                </c:pt>
                <c:pt idx="213">
                  <c:v>-9.1734016442267495E-3</c:v>
                </c:pt>
                <c:pt idx="214">
                  <c:v>-1.5801507930394501E-3</c:v>
                </c:pt>
                <c:pt idx="215">
                  <c:v>-4.7550878898467404E-3</c:v>
                </c:pt>
                <c:pt idx="216">
                  <c:v>-1.2873535926586599E-2</c:v>
                </c:pt>
                <c:pt idx="217">
                  <c:v>2.0133763319997999E-3</c:v>
                </c:pt>
                <c:pt idx="218" formatCode="0.00E+00">
                  <c:v>-1.86665645288678E-6</c:v>
                </c:pt>
                <c:pt idx="219" formatCode="0.00E+00">
                  <c:v>-4.6813265817292997E-3</c:v>
                </c:pt>
                <c:pt idx="220">
                  <c:v>-6.7612406944878001E-4</c:v>
                </c:pt>
                <c:pt idx="221" formatCode="0.00E+00">
                  <c:v>5.3964114784016901E-3</c:v>
                </c:pt>
                <c:pt idx="222">
                  <c:v>1.3580460254402699E-2</c:v>
                </c:pt>
                <c:pt idx="223">
                  <c:v>2.6478746659956498E-3</c:v>
                </c:pt>
                <c:pt idx="224">
                  <c:v>-1.0171600484417301E-2</c:v>
                </c:pt>
                <c:pt idx="225">
                  <c:v>5.28445054646843E-3</c:v>
                </c:pt>
                <c:pt idx="226">
                  <c:v>-4.5524519712419002E-3</c:v>
                </c:pt>
                <c:pt idx="227">
                  <c:v>5.8361180813744004E-4</c:v>
                </c:pt>
                <c:pt idx="228">
                  <c:v>2.6909916615703001E-3</c:v>
                </c:pt>
                <c:pt idx="229">
                  <c:v>6.3815291349358103E-3</c:v>
                </c:pt>
                <c:pt idx="230">
                  <c:v>1.7111996468454599E-2</c:v>
                </c:pt>
                <c:pt idx="231">
                  <c:v>-4.5302363036509802E-3</c:v>
                </c:pt>
                <c:pt idx="232">
                  <c:v>-4.2788215936842098E-3</c:v>
                </c:pt>
                <c:pt idx="233">
                  <c:v>8.4797869122404403E-4</c:v>
                </c:pt>
                <c:pt idx="234">
                  <c:v>-6.6986848175650795E-4</c:v>
                </c:pt>
                <c:pt idx="235" formatCode="0.00E+00">
                  <c:v>-2.46202050412416E-3</c:v>
                </c:pt>
                <c:pt idx="236" formatCode="0.00E+00">
                  <c:v>4.9504660670739E-3</c:v>
                </c:pt>
                <c:pt idx="237" formatCode="0.00E+00">
                  <c:v>-6.59006928740877E-3</c:v>
                </c:pt>
                <c:pt idx="238">
                  <c:v>-2.6562497988144598E-2</c:v>
                </c:pt>
                <c:pt idx="239">
                  <c:v>4.6324737020967304E-3</c:v>
                </c:pt>
                <c:pt idx="240">
                  <c:v>1.5912581874468399E-2</c:v>
                </c:pt>
                <c:pt idx="241">
                  <c:v>1.5447877466368801E-3</c:v>
                </c:pt>
                <c:pt idx="242">
                  <c:v>9.5732824816442998E-3</c:v>
                </c:pt>
                <c:pt idx="243">
                  <c:v>2.02897116300098E-3</c:v>
                </c:pt>
                <c:pt idx="244">
                  <c:v>-8.0685915672949592E-3</c:v>
                </c:pt>
                <c:pt idx="245">
                  <c:v>-1.0647663955143299E-2</c:v>
                </c:pt>
                <c:pt idx="246">
                  <c:v>-7.4054547278771198E-4</c:v>
                </c:pt>
                <c:pt idx="247">
                  <c:v>4.5536189123486599E-3</c:v>
                </c:pt>
                <c:pt idx="248">
                  <c:v>7.9132333348499694E-3</c:v>
                </c:pt>
                <c:pt idx="249">
                  <c:v>5.7317253032628003E-3</c:v>
                </c:pt>
                <c:pt idx="250">
                  <c:v>-3.9791362615927903E-3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2F0-B708-4C1D-98CF-9828A199F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0450160"/>
        <c:axId val="740453760"/>
      </c:lineChart>
      <c:dateAx>
        <c:axId val="7404501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453760"/>
        <c:crosses val="autoZero"/>
        <c:auto val="0"/>
        <c:lblOffset val="100"/>
        <c:baseTimeUnit val="days"/>
      </c:dateAx>
      <c:valAx>
        <c:axId val="740453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450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</a:t>
            </a:r>
            <a:r>
              <a:rPr lang="en-US" baseline="0"/>
              <a:t> History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'PORTFOLIO DATA'!$F$1</c:f>
              <c:strCache>
                <c:ptCount val="1"/>
                <c:pt idx="0">
                  <c:v>Close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'PORTFOLIO DATA'!$A$2:$A$252</c:f>
              <c:numCache>
                <c:formatCode>m/d/yyyy</c:formatCode>
                <c:ptCount val="251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45307</c:v>
                </c:pt>
                <c:pt idx="5">
                  <c:v>45308</c:v>
                </c:pt>
                <c:pt idx="6">
                  <c:v>45309</c:v>
                </c:pt>
                <c:pt idx="7">
                  <c:v>45310</c:v>
                </c:pt>
                <c:pt idx="8">
                  <c:v>45313</c:v>
                </c:pt>
                <c:pt idx="9">
                  <c:v>45314</c:v>
                </c:pt>
                <c:pt idx="10">
                  <c:v>45315</c:v>
                </c:pt>
                <c:pt idx="11">
                  <c:v>45316</c:v>
                </c:pt>
                <c:pt idx="12">
                  <c:v>45317</c:v>
                </c:pt>
                <c:pt idx="13">
                  <c:v>45320</c:v>
                </c:pt>
                <c:pt idx="14">
                  <c:v>45321</c:v>
                </c:pt>
                <c:pt idx="15">
                  <c:v>45322</c:v>
                </c:pt>
                <c:pt idx="16">
                  <c:v>45323</c:v>
                </c:pt>
                <c:pt idx="17">
                  <c:v>45324</c:v>
                </c:pt>
                <c:pt idx="18">
                  <c:v>45327</c:v>
                </c:pt>
                <c:pt idx="19">
                  <c:v>45328</c:v>
                </c:pt>
                <c:pt idx="20">
                  <c:v>45329</c:v>
                </c:pt>
                <c:pt idx="21">
                  <c:v>45330</c:v>
                </c:pt>
                <c:pt idx="22">
                  <c:v>45331</c:v>
                </c:pt>
                <c:pt idx="23">
                  <c:v>45334</c:v>
                </c:pt>
                <c:pt idx="24">
                  <c:v>45335</c:v>
                </c:pt>
                <c:pt idx="25">
                  <c:v>45336</c:v>
                </c:pt>
                <c:pt idx="26">
                  <c:v>45337</c:v>
                </c:pt>
                <c:pt idx="27">
                  <c:v>45338</c:v>
                </c:pt>
                <c:pt idx="28">
                  <c:v>45342</c:v>
                </c:pt>
                <c:pt idx="29">
                  <c:v>45343</c:v>
                </c:pt>
                <c:pt idx="30">
                  <c:v>45344</c:v>
                </c:pt>
                <c:pt idx="31">
                  <c:v>45345</c:v>
                </c:pt>
                <c:pt idx="32">
                  <c:v>45348</c:v>
                </c:pt>
                <c:pt idx="33">
                  <c:v>45349</c:v>
                </c:pt>
                <c:pt idx="34">
                  <c:v>45350</c:v>
                </c:pt>
                <c:pt idx="35">
                  <c:v>45351</c:v>
                </c:pt>
                <c:pt idx="36">
                  <c:v>45352</c:v>
                </c:pt>
                <c:pt idx="37">
                  <c:v>45355</c:v>
                </c:pt>
                <c:pt idx="38">
                  <c:v>45356</c:v>
                </c:pt>
                <c:pt idx="39">
                  <c:v>45357</c:v>
                </c:pt>
                <c:pt idx="40">
                  <c:v>45358</c:v>
                </c:pt>
                <c:pt idx="41">
                  <c:v>45359</c:v>
                </c:pt>
                <c:pt idx="42">
                  <c:v>45362</c:v>
                </c:pt>
                <c:pt idx="43">
                  <c:v>45363</c:v>
                </c:pt>
                <c:pt idx="44">
                  <c:v>45364</c:v>
                </c:pt>
                <c:pt idx="45">
                  <c:v>45365</c:v>
                </c:pt>
                <c:pt idx="46">
                  <c:v>45366</c:v>
                </c:pt>
                <c:pt idx="47">
                  <c:v>45369</c:v>
                </c:pt>
                <c:pt idx="48">
                  <c:v>45370</c:v>
                </c:pt>
                <c:pt idx="49">
                  <c:v>45371</c:v>
                </c:pt>
                <c:pt idx="50">
                  <c:v>45372</c:v>
                </c:pt>
                <c:pt idx="51">
                  <c:v>45373</c:v>
                </c:pt>
                <c:pt idx="52">
                  <c:v>45376</c:v>
                </c:pt>
                <c:pt idx="53">
                  <c:v>45377</c:v>
                </c:pt>
                <c:pt idx="54">
                  <c:v>45378</c:v>
                </c:pt>
                <c:pt idx="55">
                  <c:v>45379</c:v>
                </c:pt>
                <c:pt idx="56">
                  <c:v>45383</c:v>
                </c:pt>
                <c:pt idx="57">
                  <c:v>45384</c:v>
                </c:pt>
                <c:pt idx="58">
                  <c:v>45385</c:v>
                </c:pt>
                <c:pt idx="59">
                  <c:v>45386</c:v>
                </c:pt>
                <c:pt idx="60">
                  <c:v>45387</c:v>
                </c:pt>
                <c:pt idx="61">
                  <c:v>45390</c:v>
                </c:pt>
                <c:pt idx="62">
                  <c:v>45391</c:v>
                </c:pt>
                <c:pt idx="63">
                  <c:v>45392</c:v>
                </c:pt>
                <c:pt idx="64">
                  <c:v>45393</c:v>
                </c:pt>
                <c:pt idx="65">
                  <c:v>45394</c:v>
                </c:pt>
                <c:pt idx="66">
                  <c:v>45397</c:v>
                </c:pt>
                <c:pt idx="67">
                  <c:v>45398</c:v>
                </c:pt>
                <c:pt idx="68">
                  <c:v>45399</c:v>
                </c:pt>
                <c:pt idx="69">
                  <c:v>45400</c:v>
                </c:pt>
                <c:pt idx="70">
                  <c:v>45401</c:v>
                </c:pt>
                <c:pt idx="71">
                  <c:v>45404</c:v>
                </c:pt>
                <c:pt idx="72">
                  <c:v>45405</c:v>
                </c:pt>
                <c:pt idx="73">
                  <c:v>45406</c:v>
                </c:pt>
                <c:pt idx="74">
                  <c:v>45407</c:v>
                </c:pt>
                <c:pt idx="75">
                  <c:v>45408</c:v>
                </c:pt>
                <c:pt idx="76">
                  <c:v>45411</c:v>
                </c:pt>
                <c:pt idx="77">
                  <c:v>45412</c:v>
                </c:pt>
                <c:pt idx="78">
                  <c:v>45413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45427</c:v>
                </c:pt>
                <c:pt idx="89">
                  <c:v>45428</c:v>
                </c:pt>
                <c:pt idx="90">
                  <c:v>45429</c:v>
                </c:pt>
                <c:pt idx="91">
                  <c:v>45432</c:v>
                </c:pt>
                <c:pt idx="92">
                  <c:v>45433</c:v>
                </c:pt>
                <c:pt idx="93">
                  <c:v>45434</c:v>
                </c:pt>
                <c:pt idx="94">
                  <c:v>45435</c:v>
                </c:pt>
                <c:pt idx="95">
                  <c:v>45436</c:v>
                </c:pt>
                <c:pt idx="96">
                  <c:v>45440</c:v>
                </c:pt>
                <c:pt idx="97">
                  <c:v>45441</c:v>
                </c:pt>
                <c:pt idx="98">
                  <c:v>45442</c:v>
                </c:pt>
                <c:pt idx="99">
                  <c:v>45443</c:v>
                </c:pt>
                <c:pt idx="100">
                  <c:v>45446</c:v>
                </c:pt>
                <c:pt idx="101">
                  <c:v>45447</c:v>
                </c:pt>
                <c:pt idx="102">
                  <c:v>45448</c:v>
                </c:pt>
                <c:pt idx="103">
                  <c:v>45449</c:v>
                </c:pt>
                <c:pt idx="104">
                  <c:v>45450</c:v>
                </c:pt>
                <c:pt idx="105">
                  <c:v>45453</c:v>
                </c:pt>
                <c:pt idx="106">
                  <c:v>45454</c:v>
                </c:pt>
                <c:pt idx="107">
                  <c:v>45455</c:v>
                </c:pt>
                <c:pt idx="108">
                  <c:v>45456</c:v>
                </c:pt>
                <c:pt idx="109">
                  <c:v>45457</c:v>
                </c:pt>
                <c:pt idx="110">
                  <c:v>45460</c:v>
                </c:pt>
                <c:pt idx="111">
                  <c:v>45461</c:v>
                </c:pt>
                <c:pt idx="112">
                  <c:v>45463</c:v>
                </c:pt>
                <c:pt idx="113">
                  <c:v>45464</c:v>
                </c:pt>
                <c:pt idx="114">
                  <c:v>45467</c:v>
                </c:pt>
                <c:pt idx="115">
                  <c:v>45468</c:v>
                </c:pt>
                <c:pt idx="116">
                  <c:v>45469</c:v>
                </c:pt>
                <c:pt idx="117">
                  <c:v>45470</c:v>
                </c:pt>
                <c:pt idx="118">
                  <c:v>45471</c:v>
                </c:pt>
                <c:pt idx="119">
                  <c:v>45474</c:v>
                </c:pt>
                <c:pt idx="120">
                  <c:v>45475</c:v>
                </c:pt>
                <c:pt idx="121">
                  <c:v>45476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45538</c:v>
                </c:pt>
                <c:pt idx="164">
                  <c:v>45539</c:v>
                </c:pt>
                <c:pt idx="165">
                  <c:v>45540</c:v>
                </c:pt>
                <c:pt idx="166">
                  <c:v>45541</c:v>
                </c:pt>
                <c:pt idx="167">
                  <c:v>45544</c:v>
                </c:pt>
                <c:pt idx="168">
                  <c:v>45545</c:v>
                </c:pt>
                <c:pt idx="169">
                  <c:v>45546</c:v>
                </c:pt>
                <c:pt idx="170">
                  <c:v>45547</c:v>
                </c:pt>
                <c:pt idx="171">
                  <c:v>45548</c:v>
                </c:pt>
                <c:pt idx="172">
                  <c:v>45551</c:v>
                </c:pt>
                <c:pt idx="173">
                  <c:v>45552</c:v>
                </c:pt>
                <c:pt idx="174">
                  <c:v>45553</c:v>
                </c:pt>
                <c:pt idx="175">
                  <c:v>45554</c:v>
                </c:pt>
                <c:pt idx="176">
                  <c:v>45555</c:v>
                </c:pt>
                <c:pt idx="177">
                  <c:v>45558</c:v>
                </c:pt>
                <c:pt idx="178">
                  <c:v>45559</c:v>
                </c:pt>
                <c:pt idx="179">
                  <c:v>45560</c:v>
                </c:pt>
                <c:pt idx="180">
                  <c:v>45561</c:v>
                </c:pt>
                <c:pt idx="181">
                  <c:v>45562</c:v>
                </c:pt>
                <c:pt idx="182">
                  <c:v>45565</c:v>
                </c:pt>
                <c:pt idx="183">
                  <c:v>45566</c:v>
                </c:pt>
                <c:pt idx="184">
                  <c:v>45567</c:v>
                </c:pt>
                <c:pt idx="185">
                  <c:v>45568</c:v>
                </c:pt>
                <c:pt idx="186">
                  <c:v>45569</c:v>
                </c:pt>
                <c:pt idx="187">
                  <c:v>45572</c:v>
                </c:pt>
                <c:pt idx="188">
                  <c:v>45573</c:v>
                </c:pt>
                <c:pt idx="189">
                  <c:v>45574</c:v>
                </c:pt>
                <c:pt idx="190">
                  <c:v>45575</c:v>
                </c:pt>
                <c:pt idx="191">
                  <c:v>45576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45586</c:v>
                </c:pt>
                <c:pt idx="198">
                  <c:v>45587</c:v>
                </c:pt>
                <c:pt idx="199">
                  <c:v>45588</c:v>
                </c:pt>
                <c:pt idx="200">
                  <c:v>45589</c:v>
                </c:pt>
                <c:pt idx="201">
                  <c:v>45590</c:v>
                </c:pt>
                <c:pt idx="202">
                  <c:v>45593</c:v>
                </c:pt>
                <c:pt idx="203">
                  <c:v>45594</c:v>
                </c:pt>
                <c:pt idx="204">
                  <c:v>45595</c:v>
                </c:pt>
                <c:pt idx="205">
                  <c:v>45596</c:v>
                </c:pt>
                <c:pt idx="206">
                  <c:v>45597</c:v>
                </c:pt>
                <c:pt idx="207">
                  <c:v>45600</c:v>
                </c:pt>
                <c:pt idx="208">
                  <c:v>45601</c:v>
                </c:pt>
                <c:pt idx="209">
                  <c:v>45602</c:v>
                </c:pt>
                <c:pt idx="210">
                  <c:v>45603</c:v>
                </c:pt>
                <c:pt idx="211">
                  <c:v>45604</c:v>
                </c:pt>
                <c:pt idx="212">
                  <c:v>45607</c:v>
                </c:pt>
                <c:pt idx="213">
                  <c:v>45608</c:v>
                </c:pt>
                <c:pt idx="214">
                  <c:v>45609</c:v>
                </c:pt>
                <c:pt idx="215">
                  <c:v>45610</c:v>
                </c:pt>
                <c:pt idx="216">
                  <c:v>45611</c:v>
                </c:pt>
                <c:pt idx="217">
                  <c:v>45614</c:v>
                </c:pt>
                <c:pt idx="218">
                  <c:v>45615</c:v>
                </c:pt>
                <c:pt idx="219">
                  <c:v>45616</c:v>
                </c:pt>
                <c:pt idx="220">
                  <c:v>45617</c:v>
                </c:pt>
                <c:pt idx="221">
                  <c:v>45618</c:v>
                </c:pt>
                <c:pt idx="222">
                  <c:v>45621</c:v>
                </c:pt>
                <c:pt idx="223">
                  <c:v>45622</c:v>
                </c:pt>
                <c:pt idx="224">
                  <c:v>45623</c:v>
                </c:pt>
                <c:pt idx="225">
                  <c:v>45625</c:v>
                </c:pt>
                <c:pt idx="226">
                  <c:v>45628</c:v>
                </c:pt>
                <c:pt idx="227">
                  <c:v>45629</c:v>
                </c:pt>
                <c:pt idx="228">
                  <c:v>45630</c:v>
                </c:pt>
                <c:pt idx="229">
                  <c:v>45631</c:v>
                </c:pt>
                <c:pt idx="230">
                  <c:v>45632</c:v>
                </c:pt>
                <c:pt idx="231">
                  <c:v>45635</c:v>
                </c:pt>
                <c:pt idx="232">
                  <c:v>45636</c:v>
                </c:pt>
                <c:pt idx="233">
                  <c:v>45637</c:v>
                </c:pt>
                <c:pt idx="234">
                  <c:v>45638</c:v>
                </c:pt>
                <c:pt idx="235">
                  <c:v>45639</c:v>
                </c:pt>
                <c:pt idx="236">
                  <c:v>45642</c:v>
                </c:pt>
                <c:pt idx="237">
                  <c:v>45643</c:v>
                </c:pt>
                <c:pt idx="238">
                  <c:v>45644</c:v>
                </c:pt>
                <c:pt idx="239">
                  <c:v>45645</c:v>
                </c:pt>
                <c:pt idx="240">
                  <c:v>45646</c:v>
                </c:pt>
                <c:pt idx="241">
                  <c:v>45649</c:v>
                </c:pt>
                <c:pt idx="242">
                  <c:v>45650</c:v>
                </c:pt>
                <c:pt idx="243">
                  <c:v>45652</c:v>
                </c:pt>
                <c:pt idx="244">
                  <c:v>45653</c:v>
                </c:pt>
                <c:pt idx="245">
                  <c:v>45656</c:v>
                </c:pt>
                <c:pt idx="246">
                  <c:v>45657</c:v>
                </c:pt>
                <c:pt idx="247">
                  <c:v>45659</c:v>
                </c:pt>
                <c:pt idx="248">
                  <c:v>45660</c:v>
                </c:pt>
                <c:pt idx="249">
                  <c:v>45663</c:v>
                </c:pt>
                <c:pt idx="250">
                  <c:v>45664</c:v>
                </c:pt>
              </c:numCache>
            </c:numRef>
          </c:cat>
          <c:val>
            <c:numRef>
              <c:f>'PORTFOLIO DATA'!$F$2:$F$252</c:f>
              <c:numCache>
                <c:formatCode>General</c:formatCode>
                <c:ptCount val="251"/>
                <c:pt idx="0">
                  <c:v>206.311348628997</c:v>
                </c:pt>
                <c:pt idx="1">
                  <c:v>207.643748044967</c:v>
                </c:pt>
                <c:pt idx="2">
                  <c:v>207.40039601325901</c:v>
                </c:pt>
                <c:pt idx="3">
                  <c:v>206.900972318649</c:v>
                </c:pt>
                <c:pt idx="4">
                  <c:v>206.17801437377901</c:v>
                </c:pt>
                <c:pt idx="5">
                  <c:v>205.75508756637501</c:v>
                </c:pt>
                <c:pt idx="6">
                  <c:v>207.36209740638699</c:v>
                </c:pt>
                <c:pt idx="7">
                  <c:v>211.01961708068799</c:v>
                </c:pt>
                <c:pt idx="8">
                  <c:v>210.57398896217299</c:v>
                </c:pt>
                <c:pt idx="9">
                  <c:v>209.864971208572</c:v>
                </c:pt>
                <c:pt idx="10">
                  <c:v>209.847633218765</c:v>
                </c:pt>
                <c:pt idx="11">
                  <c:v>209.5718916893</c:v>
                </c:pt>
                <c:pt idx="12">
                  <c:v>206.712294197082</c:v>
                </c:pt>
                <c:pt idx="13">
                  <c:v>207.747427845001</c:v>
                </c:pt>
                <c:pt idx="14">
                  <c:v>209.39892859458899</c:v>
                </c:pt>
                <c:pt idx="15">
                  <c:v>206.61996178627001</c:v>
                </c:pt>
                <c:pt idx="16">
                  <c:v>209.40237164497299</c:v>
                </c:pt>
                <c:pt idx="17">
                  <c:v>209.42693967819201</c:v>
                </c:pt>
                <c:pt idx="18">
                  <c:v>204.35203814506499</c:v>
                </c:pt>
                <c:pt idx="19">
                  <c:v>204.264704847335</c:v>
                </c:pt>
                <c:pt idx="20">
                  <c:v>205.89248056411699</c:v>
                </c:pt>
                <c:pt idx="21">
                  <c:v>207.24510483741699</c:v>
                </c:pt>
                <c:pt idx="22">
                  <c:v>206.53420834541299</c:v>
                </c:pt>
                <c:pt idx="23">
                  <c:v>207.22909803390499</c:v>
                </c:pt>
                <c:pt idx="24">
                  <c:v>204.553721952438</c:v>
                </c:pt>
                <c:pt idx="25">
                  <c:v>205.13213591575601</c:v>
                </c:pt>
                <c:pt idx="26">
                  <c:v>207.46199522018401</c:v>
                </c:pt>
                <c:pt idx="27">
                  <c:v>206.82141809463499</c:v>
                </c:pt>
                <c:pt idx="28">
                  <c:v>206.919684982299</c:v>
                </c:pt>
                <c:pt idx="29">
                  <c:v>208.08823189735401</c:v>
                </c:pt>
                <c:pt idx="30">
                  <c:v>210.005464315414</c:v>
                </c:pt>
                <c:pt idx="31">
                  <c:v>210.790648078918</c:v>
                </c:pt>
                <c:pt idx="32">
                  <c:v>209.76678876876801</c:v>
                </c:pt>
                <c:pt idx="33">
                  <c:v>208.553203392028</c:v>
                </c:pt>
                <c:pt idx="34">
                  <c:v>209.54609131813001</c:v>
                </c:pt>
                <c:pt idx="35">
                  <c:v>208.647404813766</c:v>
                </c:pt>
                <c:pt idx="36">
                  <c:v>207.86415362357999</c:v>
                </c:pt>
                <c:pt idx="37">
                  <c:v>207.928789234161</c:v>
                </c:pt>
                <c:pt idx="38">
                  <c:v>208.47408227920499</c:v>
                </c:pt>
                <c:pt idx="39">
                  <c:v>208.55907669067301</c:v>
                </c:pt>
                <c:pt idx="40">
                  <c:v>207.72478895187299</c:v>
                </c:pt>
                <c:pt idx="41">
                  <c:v>208.51329555511401</c:v>
                </c:pt>
                <c:pt idx="42">
                  <c:v>209.660074806213</c:v>
                </c:pt>
                <c:pt idx="43">
                  <c:v>210.47544326782199</c:v>
                </c:pt>
                <c:pt idx="44">
                  <c:v>207.05973701477001</c:v>
                </c:pt>
                <c:pt idx="45">
                  <c:v>206.58354396819999</c:v>
                </c:pt>
                <c:pt idx="46">
                  <c:v>204.901851654052</c:v>
                </c:pt>
                <c:pt idx="47">
                  <c:v>205.292171573638</c:v>
                </c:pt>
                <c:pt idx="48">
                  <c:v>207.58218669891301</c:v>
                </c:pt>
                <c:pt idx="49">
                  <c:v>209.61897468566801</c:v>
                </c:pt>
                <c:pt idx="50">
                  <c:v>210.96157808303801</c:v>
                </c:pt>
                <c:pt idx="51">
                  <c:v>209.46724233627299</c:v>
                </c:pt>
                <c:pt idx="52">
                  <c:v>207.26577081680199</c:v>
                </c:pt>
                <c:pt idx="53">
                  <c:v>207.251414489746</c:v>
                </c:pt>
                <c:pt idx="54">
                  <c:v>209.53667812347399</c:v>
                </c:pt>
                <c:pt idx="55">
                  <c:v>209.90052909850999</c:v>
                </c:pt>
                <c:pt idx="56">
                  <c:v>209.71160049438399</c:v>
                </c:pt>
                <c:pt idx="57">
                  <c:v>208.14497251510599</c:v>
                </c:pt>
                <c:pt idx="58">
                  <c:v>207.635481643676</c:v>
                </c:pt>
                <c:pt idx="59">
                  <c:v>203.65932731628399</c:v>
                </c:pt>
                <c:pt idx="60">
                  <c:v>203.07242822647001</c:v>
                </c:pt>
                <c:pt idx="61">
                  <c:v>204.05383434295601</c:v>
                </c:pt>
                <c:pt idx="62">
                  <c:v>204.955923748016</c:v>
                </c:pt>
                <c:pt idx="63">
                  <c:v>203.35911531448301</c:v>
                </c:pt>
                <c:pt idx="64">
                  <c:v>203.51250953674301</c:v>
                </c:pt>
                <c:pt idx="65">
                  <c:v>201.79833002090399</c:v>
                </c:pt>
                <c:pt idx="66">
                  <c:v>201.68188638687101</c:v>
                </c:pt>
                <c:pt idx="67">
                  <c:v>200.883399772644</c:v>
                </c:pt>
                <c:pt idx="68">
                  <c:v>203.603207683563</c:v>
                </c:pt>
                <c:pt idx="69">
                  <c:v>203.92597894668501</c:v>
                </c:pt>
                <c:pt idx="70">
                  <c:v>204.166630935668</c:v>
                </c:pt>
                <c:pt idx="71">
                  <c:v>207.43569145202599</c:v>
                </c:pt>
                <c:pt idx="72">
                  <c:v>209.02303333282401</c:v>
                </c:pt>
                <c:pt idx="73">
                  <c:v>209.01690692901599</c:v>
                </c:pt>
                <c:pt idx="74">
                  <c:v>207.92412662506101</c:v>
                </c:pt>
                <c:pt idx="75">
                  <c:v>209.27184352874701</c:v>
                </c:pt>
                <c:pt idx="76">
                  <c:v>208.97772588729799</c:v>
                </c:pt>
                <c:pt idx="77">
                  <c:v>208.10345859527499</c:v>
                </c:pt>
                <c:pt idx="78">
                  <c:v>208.77162504196099</c:v>
                </c:pt>
                <c:pt idx="79">
                  <c:v>209.03164281845</c:v>
                </c:pt>
                <c:pt idx="80">
                  <c:v>208.65688190460199</c:v>
                </c:pt>
                <c:pt idx="81">
                  <c:v>209.296112537384</c:v>
                </c:pt>
                <c:pt idx="82">
                  <c:v>209.15460453033401</c:v>
                </c:pt>
                <c:pt idx="83">
                  <c:v>209.881849384307</c:v>
                </c:pt>
                <c:pt idx="84">
                  <c:v>210.792184925079</c:v>
                </c:pt>
                <c:pt idx="85">
                  <c:v>213.76114435195899</c:v>
                </c:pt>
                <c:pt idx="86">
                  <c:v>212.23783702850301</c:v>
                </c:pt>
                <c:pt idx="87">
                  <c:v>212.47795495986901</c:v>
                </c:pt>
                <c:pt idx="88">
                  <c:v>215.25315093994101</c:v>
                </c:pt>
                <c:pt idx="89">
                  <c:v>215.363566875457</c:v>
                </c:pt>
                <c:pt idx="90">
                  <c:v>215.46736726760801</c:v>
                </c:pt>
                <c:pt idx="91">
                  <c:v>213.10661058425899</c:v>
                </c:pt>
                <c:pt idx="92">
                  <c:v>212.69802722930899</c:v>
                </c:pt>
                <c:pt idx="93">
                  <c:v>211.57752676010099</c:v>
                </c:pt>
                <c:pt idx="94">
                  <c:v>207.486187076568</c:v>
                </c:pt>
                <c:pt idx="95">
                  <c:v>208.06262521743699</c:v>
                </c:pt>
                <c:pt idx="96">
                  <c:v>205.80440607070901</c:v>
                </c:pt>
                <c:pt idx="97">
                  <c:v>203.48334131240799</c:v>
                </c:pt>
                <c:pt idx="98">
                  <c:v>204.126495742797</c:v>
                </c:pt>
                <c:pt idx="99">
                  <c:v>207.71341962814299</c:v>
                </c:pt>
                <c:pt idx="100">
                  <c:v>208.43197689056399</c:v>
                </c:pt>
                <c:pt idx="101">
                  <c:v>209.794174957275</c:v>
                </c:pt>
                <c:pt idx="102">
                  <c:v>210.032097911834</c:v>
                </c:pt>
                <c:pt idx="103">
                  <c:v>210.29549283981299</c:v>
                </c:pt>
                <c:pt idx="104">
                  <c:v>208.43678808212201</c:v>
                </c:pt>
                <c:pt idx="105">
                  <c:v>207.106407260894</c:v>
                </c:pt>
                <c:pt idx="106">
                  <c:v>206.55372276306099</c:v>
                </c:pt>
                <c:pt idx="107">
                  <c:v>206.763768959045</c:v>
                </c:pt>
                <c:pt idx="108">
                  <c:v>206.20772800445499</c:v>
                </c:pt>
                <c:pt idx="109">
                  <c:v>206.19568881988499</c:v>
                </c:pt>
                <c:pt idx="110">
                  <c:v>206.60894498824999</c:v>
                </c:pt>
                <c:pt idx="111">
                  <c:v>206.348259067535</c:v>
                </c:pt>
                <c:pt idx="112">
                  <c:v>208.05989151000901</c:v>
                </c:pt>
                <c:pt idx="113">
                  <c:v>209.692108821868</c:v>
                </c:pt>
                <c:pt idx="114">
                  <c:v>211.389364147186</c:v>
                </c:pt>
                <c:pt idx="115">
                  <c:v>209.92769613265901</c:v>
                </c:pt>
                <c:pt idx="116">
                  <c:v>209.86871194839401</c:v>
                </c:pt>
                <c:pt idx="117">
                  <c:v>208.65467557907101</c:v>
                </c:pt>
                <c:pt idx="118">
                  <c:v>207.135114765167</c:v>
                </c:pt>
                <c:pt idx="119">
                  <c:v>206.31730413436799</c:v>
                </c:pt>
                <c:pt idx="120">
                  <c:v>206.446773433685</c:v>
                </c:pt>
                <c:pt idx="121">
                  <c:v>207.63134174346899</c:v>
                </c:pt>
                <c:pt idx="122">
                  <c:v>208.33698263168299</c:v>
                </c:pt>
                <c:pt idx="123">
                  <c:v>206.492331886291</c:v>
                </c:pt>
                <c:pt idx="124">
                  <c:v>206.280157089233</c:v>
                </c:pt>
                <c:pt idx="125">
                  <c:v>208.93442134857099</c:v>
                </c:pt>
                <c:pt idx="126">
                  <c:v>210.224090194702</c:v>
                </c:pt>
                <c:pt idx="127">
                  <c:v>210.30519323349</c:v>
                </c:pt>
                <c:pt idx="128">
                  <c:v>210.900789451599</c:v>
                </c:pt>
                <c:pt idx="129">
                  <c:v>214.17554206848101</c:v>
                </c:pt>
                <c:pt idx="130">
                  <c:v>215.71763792037899</c:v>
                </c:pt>
                <c:pt idx="131">
                  <c:v>212.77160644531199</c:v>
                </c:pt>
                <c:pt idx="132">
                  <c:v>211.34918889999301</c:v>
                </c:pt>
                <c:pt idx="133">
                  <c:v>213.17717380523601</c:v>
                </c:pt>
                <c:pt idx="134">
                  <c:v>211.20058822631799</c:v>
                </c:pt>
                <c:pt idx="135">
                  <c:v>208.237235736846</c:v>
                </c:pt>
                <c:pt idx="136">
                  <c:v>207.33714733123699</c:v>
                </c:pt>
                <c:pt idx="137">
                  <c:v>211.281323337554</c:v>
                </c:pt>
                <c:pt idx="138">
                  <c:v>214.604539489746</c:v>
                </c:pt>
                <c:pt idx="139">
                  <c:v>218.25496158599799</c:v>
                </c:pt>
                <c:pt idx="140">
                  <c:v>218.722660350799</c:v>
                </c:pt>
                <c:pt idx="141">
                  <c:v>218.94760828018099</c:v>
                </c:pt>
                <c:pt idx="142">
                  <c:v>218.62074766159</c:v>
                </c:pt>
                <c:pt idx="143">
                  <c:v>212.21311864852899</c:v>
                </c:pt>
                <c:pt idx="144">
                  <c:v>214.06324663162201</c:v>
                </c:pt>
                <c:pt idx="145">
                  <c:v>213.694396877288</c:v>
                </c:pt>
                <c:pt idx="146">
                  <c:v>216.65475587844799</c:v>
                </c:pt>
                <c:pt idx="147">
                  <c:v>215.911780643463</c:v>
                </c:pt>
                <c:pt idx="148">
                  <c:v>215.80223150253201</c:v>
                </c:pt>
                <c:pt idx="149">
                  <c:v>217.29363746643</c:v>
                </c:pt>
                <c:pt idx="150">
                  <c:v>218.107214927673</c:v>
                </c:pt>
                <c:pt idx="151">
                  <c:v>220.52418212890601</c:v>
                </c:pt>
                <c:pt idx="152">
                  <c:v>222.71036643981901</c:v>
                </c:pt>
                <c:pt idx="153">
                  <c:v>226.65837383270201</c:v>
                </c:pt>
                <c:pt idx="154">
                  <c:v>225.43826255798299</c:v>
                </c:pt>
                <c:pt idx="155">
                  <c:v>227.03455295562699</c:v>
                </c:pt>
                <c:pt idx="156">
                  <c:v>226.64259834289501</c:v>
                </c:pt>
                <c:pt idx="157">
                  <c:v>228.33948678970299</c:v>
                </c:pt>
                <c:pt idx="158">
                  <c:v>228.22991952896101</c:v>
                </c:pt>
                <c:pt idx="159">
                  <c:v>228.63036336898799</c:v>
                </c:pt>
                <c:pt idx="160">
                  <c:v>226.892725276947</c:v>
                </c:pt>
                <c:pt idx="161">
                  <c:v>228.39166507720901</c:v>
                </c:pt>
                <c:pt idx="162">
                  <c:v>229.69041481017999</c:v>
                </c:pt>
                <c:pt idx="163">
                  <c:v>226.03682060241701</c:v>
                </c:pt>
                <c:pt idx="164">
                  <c:v>227.52778015136701</c:v>
                </c:pt>
                <c:pt idx="165">
                  <c:v>226.80831108093199</c:v>
                </c:pt>
                <c:pt idx="166">
                  <c:v>225.74410181045499</c:v>
                </c:pt>
                <c:pt idx="167">
                  <c:v>227.806952667236</c:v>
                </c:pt>
                <c:pt idx="168">
                  <c:v>225.549041032791</c:v>
                </c:pt>
                <c:pt idx="169">
                  <c:v>225.68382549285801</c:v>
                </c:pt>
                <c:pt idx="170">
                  <c:v>227.56995239257799</c:v>
                </c:pt>
                <c:pt idx="171">
                  <c:v>230.40080423355101</c:v>
                </c:pt>
                <c:pt idx="172">
                  <c:v>231.644079113006</c:v>
                </c:pt>
                <c:pt idx="173">
                  <c:v>230.74950237274101</c:v>
                </c:pt>
                <c:pt idx="174">
                  <c:v>229.712744331359</c:v>
                </c:pt>
                <c:pt idx="175">
                  <c:v>232.367343235015</c:v>
                </c:pt>
                <c:pt idx="176">
                  <c:v>233.255207252502</c:v>
                </c:pt>
                <c:pt idx="177">
                  <c:v>234.35189485549901</c:v>
                </c:pt>
                <c:pt idx="178">
                  <c:v>233.501290798187</c:v>
                </c:pt>
                <c:pt idx="179">
                  <c:v>232.58698682785001</c:v>
                </c:pt>
                <c:pt idx="180">
                  <c:v>235.12287359237601</c:v>
                </c:pt>
                <c:pt idx="181">
                  <c:v>235.54193487167299</c:v>
                </c:pt>
                <c:pt idx="182">
                  <c:v>235.688918590545</c:v>
                </c:pt>
                <c:pt idx="183">
                  <c:v>234.91426782607999</c:v>
                </c:pt>
                <c:pt idx="184">
                  <c:v>235.11937990188599</c:v>
                </c:pt>
                <c:pt idx="185">
                  <c:v>234.28052129745399</c:v>
                </c:pt>
                <c:pt idx="186">
                  <c:v>235.609131813049</c:v>
                </c:pt>
                <c:pt idx="187">
                  <c:v>233.50537414550701</c:v>
                </c:pt>
                <c:pt idx="188">
                  <c:v>234.38610610961899</c:v>
                </c:pt>
                <c:pt idx="189">
                  <c:v>235.99800128936701</c:v>
                </c:pt>
                <c:pt idx="190">
                  <c:v>235.794776535034</c:v>
                </c:pt>
                <c:pt idx="191">
                  <c:v>237.77002019882201</c:v>
                </c:pt>
                <c:pt idx="192">
                  <c:v>240.937771987915</c:v>
                </c:pt>
                <c:pt idx="193">
                  <c:v>242.21169919967599</c:v>
                </c:pt>
                <c:pt idx="194">
                  <c:v>243.680596351623</c:v>
                </c:pt>
                <c:pt idx="195">
                  <c:v>244.27780590057299</c:v>
                </c:pt>
                <c:pt idx="196">
                  <c:v>244.979477882385</c:v>
                </c:pt>
                <c:pt idx="197">
                  <c:v>242.742582035064</c:v>
                </c:pt>
                <c:pt idx="198">
                  <c:v>242.29052915573101</c:v>
                </c:pt>
                <c:pt idx="199">
                  <c:v>234.85334634780801</c:v>
                </c:pt>
                <c:pt idx="200">
                  <c:v>236.56125802993699</c:v>
                </c:pt>
                <c:pt idx="201">
                  <c:v>231.70690841674801</c:v>
                </c:pt>
                <c:pt idx="202">
                  <c:v>235.44950170516901</c:v>
                </c:pt>
                <c:pt idx="203">
                  <c:v>234.73153066635101</c:v>
                </c:pt>
                <c:pt idx="204">
                  <c:v>234.57403993606499</c:v>
                </c:pt>
                <c:pt idx="205">
                  <c:v>233.71721162796001</c:v>
                </c:pt>
                <c:pt idx="206">
                  <c:v>235.16515817642201</c:v>
                </c:pt>
                <c:pt idx="207">
                  <c:v>233.19995107650701</c:v>
                </c:pt>
                <c:pt idx="208">
                  <c:v>236.809406471252</c:v>
                </c:pt>
                <c:pt idx="209">
                  <c:v>245.32538032531701</c:v>
                </c:pt>
                <c:pt idx="210">
                  <c:v>244.401294994354</c:v>
                </c:pt>
                <c:pt idx="211">
                  <c:v>247.03101139068599</c:v>
                </c:pt>
                <c:pt idx="212">
                  <c:v>249.70280437469401</c:v>
                </c:pt>
                <c:pt idx="213">
                  <c:v>247.27942523956301</c:v>
                </c:pt>
                <c:pt idx="214">
                  <c:v>246.72962732315</c:v>
                </c:pt>
                <c:pt idx="215">
                  <c:v>246.18847789764399</c:v>
                </c:pt>
                <c:pt idx="216">
                  <c:v>243.806086635589</c:v>
                </c:pt>
                <c:pt idx="217">
                  <c:v>243.261976146698</c:v>
                </c:pt>
                <c:pt idx="218">
                  <c:v>242.56451749801599</c:v>
                </c:pt>
                <c:pt idx="219">
                  <c:v>241.96458454131999</c:v>
                </c:pt>
                <c:pt idx="220">
                  <c:v>241.893515777587</c:v>
                </c:pt>
                <c:pt idx="221">
                  <c:v>243.17151222229</c:v>
                </c:pt>
                <c:pt idx="222">
                  <c:v>246.40557937622</c:v>
                </c:pt>
                <c:pt idx="223">
                  <c:v>246.977976799011</c:v>
                </c:pt>
                <c:pt idx="224">
                  <c:v>246.51870555877599</c:v>
                </c:pt>
                <c:pt idx="225">
                  <c:v>247.364854335784</c:v>
                </c:pt>
                <c:pt idx="226">
                  <c:v>245.58053512573201</c:v>
                </c:pt>
                <c:pt idx="227">
                  <c:v>245.88950376510601</c:v>
                </c:pt>
                <c:pt idx="228">
                  <c:v>245.713225650787</c:v>
                </c:pt>
                <c:pt idx="229">
                  <c:v>247.326525306701</c:v>
                </c:pt>
                <c:pt idx="230">
                  <c:v>248.11964941024701</c:v>
                </c:pt>
                <c:pt idx="231">
                  <c:v>248.05092401504501</c:v>
                </c:pt>
                <c:pt idx="232">
                  <c:v>247.93203878402699</c:v>
                </c:pt>
                <c:pt idx="233">
                  <c:v>247.99005079269401</c:v>
                </c:pt>
                <c:pt idx="234">
                  <c:v>247.85312490463201</c:v>
                </c:pt>
                <c:pt idx="235">
                  <c:v>247.04612264633101</c:v>
                </c:pt>
                <c:pt idx="236">
                  <c:v>248.30360403060899</c:v>
                </c:pt>
                <c:pt idx="237">
                  <c:v>246.457886314392</c:v>
                </c:pt>
                <c:pt idx="238">
                  <c:v>239.95978097915599</c:v>
                </c:pt>
                <c:pt idx="239">
                  <c:v>240.779502868652</c:v>
                </c:pt>
                <c:pt idx="240">
                  <c:v>243.89099407195999</c:v>
                </c:pt>
                <c:pt idx="241">
                  <c:v>244.06900653839099</c:v>
                </c:pt>
                <c:pt idx="242">
                  <c:v>247.01249332427901</c:v>
                </c:pt>
                <c:pt idx="243">
                  <c:v>247.244993495941</c:v>
                </c:pt>
                <c:pt idx="244">
                  <c:v>245.59599637985201</c:v>
                </c:pt>
                <c:pt idx="245">
                  <c:v>243.07450189590401</c:v>
                </c:pt>
                <c:pt idx="246">
                  <c:v>242.976506137847</c:v>
                </c:pt>
                <c:pt idx="247">
                  <c:v>244.16649923324499</c:v>
                </c:pt>
                <c:pt idx="248">
                  <c:v>245.942499160766</c:v>
                </c:pt>
                <c:pt idx="249">
                  <c:v>245.698998355865</c:v>
                </c:pt>
                <c:pt idx="250">
                  <c:v>244.823436069488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F9-4277-95E3-44A04C3EF023}"/>
            </c:ext>
          </c:extLst>
        </c:ser>
        <c:ser>
          <c:idx val="0"/>
          <c:order val="1"/>
          <c:tx>
            <c:strRef>
              <c:f>'PORTFOLIO DATA'!$F$1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'PORTFOLIO DATA'!$A$2:$A$252</c:f>
              <c:numCache>
                <c:formatCode>m/d/yyyy</c:formatCode>
                <c:ptCount val="251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45307</c:v>
                </c:pt>
                <c:pt idx="5">
                  <c:v>45308</c:v>
                </c:pt>
                <c:pt idx="6">
                  <c:v>45309</c:v>
                </c:pt>
                <c:pt idx="7">
                  <c:v>45310</c:v>
                </c:pt>
                <c:pt idx="8">
                  <c:v>45313</c:v>
                </c:pt>
                <c:pt idx="9">
                  <c:v>45314</c:v>
                </c:pt>
                <c:pt idx="10">
                  <c:v>45315</c:v>
                </c:pt>
                <c:pt idx="11">
                  <c:v>45316</c:v>
                </c:pt>
                <c:pt idx="12">
                  <c:v>45317</c:v>
                </c:pt>
                <c:pt idx="13">
                  <c:v>45320</c:v>
                </c:pt>
                <c:pt idx="14">
                  <c:v>45321</c:v>
                </c:pt>
                <c:pt idx="15">
                  <c:v>45322</c:v>
                </c:pt>
                <c:pt idx="16">
                  <c:v>45323</c:v>
                </c:pt>
                <c:pt idx="17">
                  <c:v>45324</c:v>
                </c:pt>
                <c:pt idx="18">
                  <c:v>45327</c:v>
                </c:pt>
                <c:pt idx="19">
                  <c:v>45328</c:v>
                </c:pt>
                <c:pt idx="20">
                  <c:v>45329</c:v>
                </c:pt>
                <c:pt idx="21">
                  <c:v>45330</c:v>
                </c:pt>
                <c:pt idx="22">
                  <c:v>45331</c:v>
                </c:pt>
                <c:pt idx="23">
                  <c:v>45334</c:v>
                </c:pt>
                <c:pt idx="24">
                  <c:v>45335</c:v>
                </c:pt>
                <c:pt idx="25">
                  <c:v>45336</c:v>
                </c:pt>
                <c:pt idx="26">
                  <c:v>45337</c:v>
                </c:pt>
                <c:pt idx="27">
                  <c:v>45338</c:v>
                </c:pt>
                <c:pt idx="28">
                  <c:v>45342</c:v>
                </c:pt>
                <c:pt idx="29">
                  <c:v>45343</c:v>
                </c:pt>
                <c:pt idx="30">
                  <c:v>45344</c:v>
                </c:pt>
                <c:pt idx="31">
                  <c:v>45345</c:v>
                </c:pt>
                <c:pt idx="32">
                  <c:v>45348</c:v>
                </c:pt>
                <c:pt idx="33">
                  <c:v>45349</c:v>
                </c:pt>
                <c:pt idx="34">
                  <c:v>45350</c:v>
                </c:pt>
                <c:pt idx="35">
                  <c:v>45351</c:v>
                </c:pt>
                <c:pt idx="36">
                  <c:v>45352</c:v>
                </c:pt>
                <c:pt idx="37">
                  <c:v>45355</c:v>
                </c:pt>
                <c:pt idx="38">
                  <c:v>45356</c:v>
                </c:pt>
                <c:pt idx="39">
                  <c:v>45357</c:v>
                </c:pt>
                <c:pt idx="40">
                  <c:v>45358</c:v>
                </c:pt>
                <c:pt idx="41">
                  <c:v>45359</c:v>
                </c:pt>
                <c:pt idx="42">
                  <c:v>45362</c:v>
                </c:pt>
                <c:pt idx="43">
                  <c:v>45363</c:v>
                </c:pt>
                <c:pt idx="44">
                  <c:v>45364</c:v>
                </c:pt>
                <c:pt idx="45">
                  <c:v>45365</c:v>
                </c:pt>
                <c:pt idx="46">
                  <c:v>45366</c:v>
                </c:pt>
                <c:pt idx="47">
                  <c:v>45369</c:v>
                </c:pt>
                <c:pt idx="48">
                  <c:v>45370</c:v>
                </c:pt>
                <c:pt idx="49">
                  <c:v>45371</c:v>
                </c:pt>
                <c:pt idx="50">
                  <c:v>45372</c:v>
                </c:pt>
                <c:pt idx="51">
                  <c:v>45373</c:v>
                </c:pt>
                <c:pt idx="52">
                  <c:v>45376</c:v>
                </c:pt>
                <c:pt idx="53">
                  <c:v>45377</c:v>
                </c:pt>
                <c:pt idx="54">
                  <c:v>45378</c:v>
                </c:pt>
                <c:pt idx="55">
                  <c:v>45379</c:v>
                </c:pt>
                <c:pt idx="56">
                  <c:v>45383</c:v>
                </c:pt>
                <c:pt idx="57">
                  <c:v>45384</c:v>
                </c:pt>
                <c:pt idx="58">
                  <c:v>45385</c:v>
                </c:pt>
                <c:pt idx="59">
                  <c:v>45386</c:v>
                </c:pt>
                <c:pt idx="60">
                  <c:v>45387</c:v>
                </c:pt>
                <c:pt idx="61">
                  <c:v>45390</c:v>
                </c:pt>
                <c:pt idx="62">
                  <c:v>45391</c:v>
                </c:pt>
                <c:pt idx="63">
                  <c:v>45392</c:v>
                </c:pt>
                <c:pt idx="64">
                  <c:v>45393</c:v>
                </c:pt>
                <c:pt idx="65">
                  <c:v>45394</c:v>
                </c:pt>
                <c:pt idx="66">
                  <c:v>45397</c:v>
                </c:pt>
                <c:pt idx="67">
                  <c:v>45398</c:v>
                </c:pt>
                <c:pt idx="68">
                  <c:v>45399</c:v>
                </c:pt>
                <c:pt idx="69">
                  <c:v>45400</c:v>
                </c:pt>
                <c:pt idx="70">
                  <c:v>45401</c:v>
                </c:pt>
                <c:pt idx="71">
                  <c:v>45404</c:v>
                </c:pt>
                <c:pt idx="72">
                  <c:v>45405</c:v>
                </c:pt>
                <c:pt idx="73">
                  <c:v>45406</c:v>
                </c:pt>
                <c:pt idx="74">
                  <c:v>45407</c:v>
                </c:pt>
                <c:pt idx="75">
                  <c:v>45408</c:v>
                </c:pt>
                <c:pt idx="76">
                  <c:v>45411</c:v>
                </c:pt>
                <c:pt idx="77">
                  <c:v>45412</c:v>
                </c:pt>
                <c:pt idx="78">
                  <c:v>45413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45427</c:v>
                </c:pt>
                <c:pt idx="89">
                  <c:v>45428</c:v>
                </c:pt>
                <c:pt idx="90">
                  <c:v>45429</c:v>
                </c:pt>
                <c:pt idx="91">
                  <c:v>45432</c:v>
                </c:pt>
                <c:pt idx="92">
                  <c:v>45433</c:v>
                </c:pt>
                <c:pt idx="93">
                  <c:v>45434</c:v>
                </c:pt>
                <c:pt idx="94">
                  <c:v>45435</c:v>
                </c:pt>
                <c:pt idx="95">
                  <c:v>45436</c:v>
                </c:pt>
                <c:pt idx="96">
                  <c:v>45440</c:v>
                </c:pt>
                <c:pt idx="97">
                  <c:v>45441</c:v>
                </c:pt>
                <c:pt idx="98">
                  <c:v>45442</c:v>
                </c:pt>
                <c:pt idx="99">
                  <c:v>45443</c:v>
                </c:pt>
                <c:pt idx="100">
                  <c:v>45446</c:v>
                </c:pt>
                <c:pt idx="101">
                  <c:v>45447</c:v>
                </c:pt>
                <c:pt idx="102">
                  <c:v>45448</c:v>
                </c:pt>
                <c:pt idx="103">
                  <c:v>45449</c:v>
                </c:pt>
                <c:pt idx="104">
                  <c:v>45450</c:v>
                </c:pt>
                <c:pt idx="105">
                  <c:v>45453</c:v>
                </c:pt>
                <c:pt idx="106">
                  <c:v>45454</c:v>
                </c:pt>
                <c:pt idx="107">
                  <c:v>45455</c:v>
                </c:pt>
                <c:pt idx="108">
                  <c:v>45456</c:v>
                </c:pt>
                <c:pt idx="109">
                  <c:v>45457</c:v>
                </c:pt>
                <c:pt idx="110">
                  <c:v>45460</c:v>
                </c:pt>
                <c:pt idx="111">
                  <c:v>45461</c:v>
                </c:pt>
                <c:pt idx="112">
                  <c:v>45463</c:v>
                </c:pt>
                <c:pt idx="113">
                  <c:v>45464</c:v>
                </c:pt>
                <c:pt idx="114">
                  <c:v>45467</c:v>
                </c:pt>
                <c:pt idx="115">
                  <c:v>45468</c:v>
                </c:pt>
                <c:pt idx="116">
                  <c:v>45469</c:v>
                </c:pt>
                <c:pt idx="117">
                  <c:v>45470</c:v>
                </c:pt>
                <c:pt idx="118">
                  <c:v>45471</c:v>
                </c:pt>
                <c:pt idx="119">
                  <c:v>45474</c:v>
                </c:pt>
                <c:pt idx="120">
                  <c:v>45475</c:v>
                </c:pt>
                <c:pt idx="121">
                  <c:v>45476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45538</c:v>
                </c:pt>
                <c:pt idx="164">
                  <c:v>45539</c:v>
                </c:pt>
                <c:pt idx="165">
                  <c:v>45540</c:v>
                </c:pt>
                <c:pt idx="166">
                  <c:v>45541</c:v>
                </c:pt>
                <c:pt idx="167">
                  <c:v>45544</c:v>
                </c:pt>
                <c:pt idx="168">
                  <c:v>45545</c:v>
                </c:pt>
                <c:pt idx="169">
                  <c:v>45546</c:v>
                </c:pt>
                <c:pt idx="170">
                  <c:v>45547</c:v>
                </c:pt>
                <c:pt idx="171">
                  <c:v>45548</c:v>
                </c:pt>
                <c:pt idx="172">
                  <c:v>45551</c:v>
                </c:pt>
                <c:pt idx="173">
                  <c:v>45552</c:v>
                </c:pt>
                <c:pt idx="174">
                  <c:v>45553</c:v>
                </c:pt>
                <c:pt idx="175">
                  <c:v>45554</c:v>
                </c:pt>
                <c:pt idx="176">
                  <c:v>45555</c:v>
                </c:pt>
                <c:pt idx="177">
                  <c:v>45558</c:v>
                </c:pt>
                <c:pt idx="178">
                  <c:v>45559</c:v>
                </c:pt>
                <c:pt idx="179">
                  <c:v>45560</c:v>
                </c:pt>
                <c:pt idx="180">
                  <c:v>45561</c:v>
                </c:pt>
                <c:pt idx="181">
                  <c:v>45562</c:v>
                </c:pt>
                <c:pt idx="182">
                  <c:v>45565</c:v>
                </c:pt>
                <c:pt idx="183">
                  <c:v>45566</c:v>
                </c:pt>
                <c:pt idx="184">
                  <c:v>45567</c:v>
                </c:pt>
                <c:pt idx="185">
                  <c:v>45568</c:v>
                </c:pt>
                <c:pt idx="186">
                  <c:v>45569</c:v>
                </c:pt>
                <c:pt idx="187">
                  <c:v>45572</c:v>
                </c:pt>
                <c:pt idx="188">
                  <c:v>45573</c:v>
                </c:pt>
                <c:pt idx="189">
                  <c:v>45574</c:v>
                </c:pt>
                <c:pt idx="190">
                  <c:v>45575</c:v>
                </c:pt>
                <c:pt idx="191">
                  <c:v>45576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45586</c:v>
                </c:pt>
                <c:pt idx="198">
                  <c:v>45587</c:v>
                </c:pt>
                <c:pt idx="199">
                  <c:v>45588</c:v>
                </c:pt>
                <c:pt idx="200">
                  <c:v>45589</c:v>
                </c:pt>
                <c:pt idx="201">
                  <c:v>45590</c:v>
                </c:pt>
                <c:pt idx="202">
                  <c:v>45593</c:v>
                </c:pt>
                <c:pt idx="203">
                  <c:v>45594</c:v>
                </c:pt>
                <c:pt idx="204">
                  <c:v>45595</c:v>
                </c:pt>
                <c:pt idx="205">
                  <c:v>45596</c:v>
                </c:pt>
                <c:pt idx="206">
                  <c:v>45597</c:v>
                </c:pt>
                <c:pt idx="207">
                  <c:v>45600</c:v>
                </c:pt>
                <c:pt idx="208">
                  <c:v>45601</c:v>
                </c:pt>
                <c:pt idx="209">
                  <c:v>45602</c:v>
                </c:pt>
                <c:pt idx="210">
                  <c:v>45603</c:v>
                </c:pt>
                <c:pt idx="211">
                  <c:v>45604</c:v>
                </c:pt>
                <c:pt idx="212">
                  <c:v>45607</c:v>
                </c:pt>
                <c:pt idx="213">
                  <c:v>45608</c:v>
                </c:pt>
                <c:pt idx="214">
                  <c:v>45609</c:v>
                </c:pt>
                <c:pt idx="215">
                  <c:v>45610</c:v>
                </c:pt>
                <c:pt idx="216">
                  <c:v>45611</c:v>
                </c:pt>
                <c:pt idx="217">
                  <c:v>45614</c:v>
                </c:pt>
                <c:pt idx="218">
                  <c:v>45615</c:v>
                </c:pt>
                <c:pt idx="219">
                  <c:v>45616</c:v>
                </c:pt>
                <c:pt idx="220">
                  <c:v>45617</c:v>
                </c:pt>
                <c:pt idx="221">
                  <c:v>45618</c:v>
                </c:pt>
                <c:pt idx="222">
                  <c:v>45621</c:v>
                </c:pt>
                <c:pt idx="223">
                  <c:v>45622</c:v>
                </c:pt>
                <c:pt idx="224">
                  <c:v>45623</c:v>
                </c:pt>
                <c:pt idx="225">
                  <c:v>45625</c:v>
                </c:pt>
                <c:pt idx="226">
                  <c:v>45628</c:v>
                </c:pt>
                <c:pt idx="227">
                  <c:v>45629</c:v>
                </c:pt>
                <c:pt idx="228">
                  <c:v>45630</c:v>
                </c:pt>
                <c:pt idx="229">
                  <c:v>45631</c:v>
                </c:pt>
                <c:pt idx="230">
                  <c:v>45632</c:v>
                </c:pt>
                <c:pt idx="231">
                  <c:v>45635</c:v>
                </c:pt>
                <c:pt idx="232">
                  <c:v>45636</c:v>
                </c:pt>
                <c:pt idx="233">
                  <c:v>45637</c:v>
                </c:pt>
                <c:pt idx="234">
                  <c:v>45638</c:v>
                </c:pt>
                <c:pt idx="235">
                  <c:v>45639</c:v>
                </c:pt>
                <c:pt idx="236">
                  <c:v>45642</c:v>
                </c:pt>
                <c:pt idx="237">
                  <c:v>45643</c:v>
                </c:pt>
                <c:pt idx="238">
                  <c:v>45644</c:v>
                </c:pt>
                <c:pt idx="239">
                  <c:v>45645</c:v>
                </c:pt>
                <c:pt idx="240">
                  <c:v>45646</c:v>
                </c:pt>
                <c:pt idx="241">
                  <c:v>45649</c:v>
                </c:pt>
                <c:pt idx="242">
                  <c:v>45650</c:v>
                </c:pt>
                <c:pt idx="243">
                  <c:v>45652</c:v>
                </c:pt>
                <c:pt idx="244">
                  <c:v>45653</c:v>
                </c:pt>
                <c:pt idx="245">
                  <c:v>45656</c:v>
                </c:pt>
                <c:pt idx="246">
                  <c:v>45657</c:v>
                </c:pt>
                <c:pt idx="247">
                  <c:v>45659</c:v>
                </c:pt>
                <c:pt idx="248">
                  <c:v>45660</c:v>
                </c:pt>
                <c:pt idx="249">
                  <c:v>45663</c:v>
                </c:pt>
                <c:pt idx="250">
                  <c:v>45664</c:v>
                </c:pt>
              </c:numCache>
            </c:numRef>
          </c:cat>
          <c:val>
            <c:numRef>
              <c:f>'PORTFOLIO DATA'!$F$2:$F$252</c:f>
              <c:numCache>
                <c:formatCode>General</c:formatCode>
                <c:ptCount val="251"/>
                <c:pt idx="0">
                  <c:v>206.311348628997</c:v>
                </c:pt>
                <c:pt idx="1">
                  <c:v>207.643748044967</c:v>
                </c:pt>
                <c:pt idx="2">
                  <c:v>207.40039601325901</c:v>
                </c:pt>
                <c:pt idx="3">
                  <c:v>206.900972318649</c:v>
                </c:pt>
                <c:pt idx="4">
                  <c:v>206.17801437377901</c:v>
                </c:pt>
                <c:pt idx="5">
                  <c:v>205.75508756637501</c:v>
                </c:pt>
                <c:pt idx="6">
                  <c:v>207.36209740638699</c:v>
                </c:pt>
                <c:pt idx="7">
                  <c:v>211.01961708068799</c:v>
                </c:pt>
                <c:pt idx="8">
                  <c:v>210.57398896217299</c:v>
                </c:pt>
                <c:pt idx="9">
                  <c:v>209.864971208572</c:v>
                </c:pt>
                <c:pt idx="10">
                  <c:v>209.847633218765</c:v>
                </c:pt>
                <c:pt idx="11">
                  <c:v>209.5718916893</c:v>
                </c:pt>
                <c:pt idx="12">
                  <c:v>206.712294197082</c:v>
                </c:pt>
                <c:pt idx="13">
                  <c:v>207.747427845001</c:v>
                </c:pt>
                <c:pt idx="14">
                  <c:v>209.39892859458899</c:v>
                </c:pt>
                <c:pt idx="15">
                  <c:v>206.61996178627001</c:v>
                </c:pt>
                <c:pt idx="16">
                  <c:v>209.40237164497299</c:v>
                </c:pt>
                <c:pt idx="17">
                  <c:v>209.42693967819201</c:v>
                </c:pt>
                <c:pt idx="18">
                  <c:v>204.35203814506499</c:v>
                </c:pt>
                <c:pt idx="19">
                  <c:v>204.264704847335</c:v>
                </c:pt>
                <c:pt idx="20">
                  <c:v>205.89248056411699</c:v>
                </c:pt>
                <c:pt idx="21">
                  <c:v>207.24510483741699</c:v>
                </c:pt>
                <c:pt idx="22">
                  <c:v>206.53420834541299</c:v>
                </c:pt>
                <c:pt idx="23">
                  <c:v>207.22909803390499</c:v>
                </c:pt>
                <c:pt idx="24">
                  <c:v>204.553721952438</c:v>
                </c:pt>
                <c:pt idx="25">
                  <c:v>205.13213591575601</c:v>
                </c:pt>
                <c:pt idx="26">
                  <c:v>207.46199522018401</c:v>
                </c:pt>
                <c:pt idx="27">
                  <c:v>206.82141809463499</c:v>
                </c:pt>
                <c:pt idx="28">
                  <c:v>206.919684982299</c:v>
                </c:pt>
                <c:pt idx="29">
                  <c:v>208.08823189735401</c:v>
                </c:pt>
                <c:pt idx="30">
                  <c:v>210.005464315414</c:v>
                </c:pt>
                <c:pt idx="31">
                  <c:v>210.790648078918</c:v>
                </c:pt>
                <c:pt idx="32">
                  <c:v>209.76678876876801</c:v>
                </c:pt>
                <c:pt idx="33">
                  <c:v>208.553203392028</c:v>
                </c:pt>
                <c:pt idx="34">
                  <c:v>209.54609131813001</c:v>
                </c:pt>
                <c:pt idx="35">
                  <c:v>208.647404813766</c:v>
                </c:pt>
                <c:pt idx="36">
                  <c:v>207.86415362357999</c:v>
                </c:pt>
                <c:pt idx="37">
                  <c:v>207.928789234161</c:v>
                </c:pt>
                <c:pt idx="38">
                  <c:v>208.47408227920499</c:v>
                </c:pt>
                <c:pt idx="39">
                  <c:v>208.55907669067301</c:v>
                </c:pt>
                <c:pt idx="40">
                  <c:v>207.72478895187299</c:v>
                </c:pt>
                <c:pt idx="41">
                  <c:v>208.51329555511401</c:v>
                </c:pt>
                <c:pt idx="42">
                  <c:v>209.660074806213</c:v>
                </c:pt>
                <c:pt idx="43">
                  <c:v>210.47544326782199</c:v>
                </c:pt>
                <c:pt idx="44">
                  <c:v>207.05973701477001</c:v>
                </c:pt>
                <c:pt idx="45">
                  <c:v>206.58354396819999</c:v>
                </c:pt>
                <c:pt idx="46">
                  <c:v>204.901851654052</c:v>
                </c:pt>
                <c:pt idx="47">
                  <c:v>205.292171573638</c:v>
                </c:pt>
                <c:pt idx="48">
                  <c:v>207.58218669891301</c:v>
                </c:pt>
                <c:pt idx="49">
                  <c:v>209.61897468566801</c:v>
                </c:pt>
                <c:pt idx="50">
                  <c:v>210.96157808303801</c:v>
                </c:pt>
                <c:pt idx="51">
                  <c:v>209.46724233627299</c:v>
                </c:pt>
                <c:pt idx="52">
                  <c:v>207.26577081680199</c:v>
                </c:pt>
                <c:pt idx="53">
                  <c:v>207.251414489746</c:v>
                </c:pt>
                <c:pt idx="54">
                  <c:v>209.53667812347399</c:v>
                </c:pt>
                <c:pt idx="55">
                  <c:v>209.90052909850999</c:v>
                </c:pt>
                <c:pt idx="56">
                  <c:v>209.71160049438399</c:v>
                </c:pt>
                <c:pt idx="57">
                  <c:v>208.14497251510599</c:v>
                </c:pt>
                <c:pt idx="58">
                  <c:v>207.635481643676</c:v>
                </c:pt>
                <c:pt idx="59">
                  <c:v>203.65932731628399</c:v>
                </c:pt>
                <c:pt idx="60">
                  <c:v>203.07242822647001</c:v>
                </c:pt>
                <c:pt idx="61">
                  <c:v>204.05383434295601</c:v>
                </c:pt>
                <c:pt idx="62">
                  <c:v>204.955923748016</c:v>
                </c:pt>
                <c:pt idx="63">
                  <c:v>203.35911531448301</c:v>
                </c:pt>
                <c:pt idx="64">
                  <c:v>203.51250953674301</c:v>
                </c:pt>
                <c:pt idx="65">
                  <c:v>201.79833002090399</c:v>
                </c:pt>
                <c:pt idx="66">
                  <c:v>201.68188638687101</c:v>
                </c:pt>
                <c:pt idx="67">
                  <c:v>200.883399772644</c:v>
                </c:pt>
                <c:pt idx="68">
                  <c:v>203.603207683563</c:v>
                </c:pt>
                <c:pt idx="69">
                  <c:v>203.92597894668501</c:v>
                </c:pt>
                <c:pt idx="70">
                  <c:v>204.166630935668</c:v>
                </c:pt>
                <c:pt idx="71">
                  <c:v>207.43569145202599</c:v>
                </c:pt>
                <c:pt idx="72">
                  <c:v>209.02303333282401</c:v>
                </c:pt>
                <c:pt idx="73">
                  <c:v>209.01690692901599</c:v>
                </c:pt>
                <c:pt idx="74">
                  <c:v>207.92412662506101</c:v>
                </c:pt>
                <c:pt idx="75">
                  <c:v>209.27184352874701</c:v>
                </c:pt>
                <c:pt idx="76">
                  <c:v>208.97772588729799</c:v>
                </c:pt>
                <c:pt idx="77">
                  <c:v>208.10345859527499</c:v>
                </c:pt>
                <c:pt idx="78">
                  <c:v>208.77162504196099</c:v>
                </c:pt>
                <c:pt idx="79">
                  <c:v>209.03164281845</c:v>
                </c:pt>
                <c:pt idx="80">
                  <c:v>208.65688190460199</c:v>
                </c:pt>
                <c:pt idx="81">
                  <c:v>209.296112537384</c:v>
                </c:pt>
                <c:pt idx="82">
                  <c:v>209.15460453033401</c:v>
                </c:pt>
                <c:pt idx="83">
                  <c:v>209.881849384307</c:v>
                </c:pt>
                <c:pt idx="84">
                  <c:v>210.792184925079</c:v>
                </c:pt>
                <c:pt idx="85">
                  <c:v>213.76114435195899</c:v>
                </c:pt>
                <c:pt idx="86">
                  <c:v>212.23783702850301</c:v>
                </c:pt>
                <c:pt idx="87">
                  <c:v>212.47795495986901</c:v>
                </c:pt>
                <c:pt idx="88">
                  <c:v>215.25315093994101</c:v>
                </c:pt>
                <c:pt idx="89">
                  <c:v>215.363566875457</c:v>
                </c:pt>
                <c:pt idx="90">
                  <c:v>215.46736726760801</c:v>
                </c:pt>
                <c:pt idx="91">
                  <c:v>213.10661058425899</c:v>
                </c:pt>
                <c:pt idx="92">
                  <c:v>212.69802722930899</c:v>
                </c:pt>
                <c:pt idx="93">
                  <c:v>211.57752676010099</c:v>
                </c:pt>
                <c:pt idx="94">
                  <c:v>207.486187076568</c:v>
                </c:pt>
                <c:pt idx="95">
                  <c:v>208.06262521743699</c:v>
                </c:pt>
                <c:pt idx="96">
                  <c:v>205.80440607070901</c:v>
                </c:pt>
                <c:pt idx="97">
                  <c:v>203.48334131240799</c:v>
                </c:pt>
                <c:pt idx="98">
                  <c:v>204.126495742797</c:v>
                </c:pt>
                <c:pt idx="99">
                  <c:v>207.71341962814299</c:v>
                </c:pt>
                <c:pt idx="100">
                  <c:v>208.43197689056399</c:v>
                </c:pt>
                <c:pt idx="101">
                  <c:v>209.794174957275</c:v>
                </c:pt>
                <c:pt idx="102">
                  <c:v>210.032097911834</c:v>
                </c:pt>
                <c:pt idx="103">
                  <c:v>210.29549283981299</c:v>
                </c:pt>
                <c:pt idx="104">
                  <c:v>208.43678808212201</c:v>
                </c:pt>
                <c:pt idx="105">
                  <c:v>207.106407260894</c:v>
                </c:pt>
                <c:pt idx="106">
                  <c:v>206.55372276306099</c:v>
                </c:pt>
                <c:pt idx="107">
                  <c:v>206.763768959045</c:v>
                </c:pt>
                <c:pt idx="108">
                  <c:v>206.20772800445499</c:v>
                </c:pt>
                <c:pt idx="109">
                  <c:v>206.19568881988499</c:v>
                </c:pt>
                <c:pt idx="110">
                  <c:v>206.60894498824999</c:v>
                </c:pt>
                <c:pt idx="111">
                  <c:v>206.348259067535</c:v>
                </c:pt>
                <c:pt idx="112">
                  <c:v>208.05989151000901</c:v>
                </c:pt>
                <c:pt idx="113">
                  <c:v>209.692108821868</c:v>
                </c:pt>
                <c:pt idx="114">
                  <c:v>211.389364147186</c:v>
                </c:pt>
                <c:pt idx="115">
                  <c:v>209.92769613265901</c:v>
                </c:pt>
                <c:pt idx="116">
                  <c:v>209.86871194839401</c:v>
                </c:pt>
                <c:pt idx="117">
                  <c:v>208.65467557907101</c:v>
                </c:pt>
                <c:pt idx="118">
                  <c:v>207.135114765167</c:v>
                </c:pt>
                <c:pt idx="119">
                  <c:v>206.31730413436799</c:v>
                </c:pt>
                <c:pt idx="120">
                  <c:v>206.446773433685</c:v>
                </c:pt>
                <c:pt idx="121">
                  <c:v>207.63134174346899</c:v>
                </c:pt>
                <c:pt idx="122">
                  <c:v>208.33698263168299</c:v>
                </c:pt>
                <c:pt idx="123">
                  <c:v>206.492331886291</c:v>
                </c:pt>
                <c:pt idx="124">
                  <c:v>206.280157089233</c:v>
                </c:pt>
                <c:pt idx="125">
                  <c:v>208.93442134857099</c:v>
                </c:pt>
                <c:pt idx="126">
                  <c:v>210.224090194702</c:v>
                </c:pt>
                <c:pt idx="127">
                  <c:v>210.30519323349</c:v>
                </c:pt>
                <c:pt idx="128">
                  <c:v>210.900789451599</c:v>
                </c:pt>
                <c:pt idx="129">
                  <c:v>214.17554206848101</c:v>
                </c:pt>
                <c:pt idx="130">
                  <c:v>215.71763792037899</c:v>
                </c:pt>
                <c:pt idx="131">
                  <c:v>212.77160644531199</c:v>
                </c:pt>
                <c:pt idx="132">
                  <c:v>211.34918889999301</c:v>
                </c:pt>
                <c:pt idx="133">
                  <c:v>213.17717380523601</c:v>
                </c:pt>
                <c:pt idx="134">
                  <c:v>211.20058822631799</c:v>
                </c:pt>
                <c:pt idx="135">
                  <c:v>208.237235736846</c:v>
                </c:pt>
                <c:pt idx="136">
                  <c:v>207.33714733123699</c:v>
                </c:pt>
                <c:pt idx="137">
                  <c:v>211.281323337554</c:v>
                </c:pt>
                <c:pt idx="138">
                  <c:v>214.604539489746</c:v>
                </c:pt>
                <c:pt idx="139">
                  <c:v>218.25496158599799</c:v>
                </c:pt>
                <c:pt idx="140">
                  <c:v>218.722660350799</c:v>
                </c:pt>
                <c:pt idx="141">
                  <c:v>218.94760828018099</c:v>
                </c:pt>
                <c:pt idx="142">
                  <c:v>218.62074766159</c:v>
                </c:pt>
                <c:pt idx="143">
                  <c:v>212.21311864852899</c:v>
                </c:pt>
                <c:pt idx="144">
                  <c:v>214.06324663162201</c:v>
                </c:pt>
                <c:pt idx="145">
                  <c:v>213.694396877288</c:v>
                </c:pt>
                <c:pt idx="146">
                  <c:v>216.65475587844799</c:v>
                </c:pt>
                <c:pt idx="147">
                  <c:v>215.911780643463</c:v>
                </c:pt>
                <c:pt idx="148">
                  <c:v>215.80223150253201</c:v>
                </c:pt>
                <c:pt idx="149">
                  <c:v>217.29363746643</c:v>
                </c:pt>
                <c:pt idx="150">
                  <c:v>218.107214927673</c:v>
                </c:pt>
                <c:pt idx="151">
                  <c:v>220.52418212890601</c:v>
                </c:pt>
                <c:pt idx="152">
                  <c:v>222.71036643981901</c:v>
                </c:pt>
                <c:pt idx="153">
                  <c:v>226.65837383270201</c:v>
                </c:pt>
                <c:pt idx="154">
                  <c:v>225.43826255798299</c:v>
                </c:pt>
                <c:pt idx="155">
                  <c:v>227.03455295562699</c:v>
                </c:pt>
                <c:pt idx="156">
                  <c:v>226.64259834289501</c:v>
                </c:pt>
                <c:pt idx="157">
                  <c:v>228.33948678970299</c:v>
                </c:pt>
                <c:pt idx="158">
                  <c:v>228.22991952896101</c:v>
                </c:pt>
                <c:pt idx="159">
                  <c:v>228.63036336898799</c:v>
                </c:pt>
                <c:pt idx="160">
                  <c:v>226.892725276947</c:v>
                </c:pt>
                <c:pt idx="161">
                  <c:v>228.39166507720901</c:v>
                </c:pt>
                <c:pt idx="162">
                  <c:v>229.69041481017999</c:v>
                </c:pt>
                <c:pt idx="163">
                  <c:v>226.03682060241701</c:v>
                </c:pt>
                <c:pt idx="164">
                  <c:v>227.52778015136701</c:v>
                </c:pt>
                <c:pt idx="165">
                  <c:v>226.80831108093199</c:v>
                </c:pt>
                <c:pt idx="166">
                  <c:v>225.74410181045499</c:v>
                </c:pt>
                <c:pt idx="167">
                  <c:v>227.806952667236</c:v>
                </c:pt>
                <c:pt idx="168">
                  <c:v>225.549041032791</c:v>
                </c:pt>
                <c:pt idx="169">
                  <c:v>225.68382549285801</c:v>
                </c:pt>
                <c:pt idx="170">
                  <c:v>227.56995239257799</c:v>
                </c:pt>
                <c:pt idx="171">
                  <c:v>230.40080423355101</c:v>
                </c:pt>
                <c:pt idx="172">
                  <c:v>231.644079113006</c:v>
                </c:pt>
                <c:pt idx="173">
                  <c:v>230.74950237274101</c:v>
                </c:pt>
                <c:pt idx="174">
                  <c:v>229.712744331359</c:v>
                </c:pt>
                <c:pt idx="175">
                  <c:v>232.367343235015</c:v>
                </c:pt>
                <c:pt idx="176">
                  <c:v>233.255207252502</c:v>
                </c:pt>
                <c:pt idx="177">
                  <c:v>234.35189485549901</c:v>
                </c:pt>
                <c:pt idx="178">
                  <c:v>233.501290798187</c:v>
                </c:pt>
                <c:pt idx="179">
                  <c:v>232.58698682785001</c:v>
                </c:pt>
                <c:pt idx="180">
                  <c:v>235.12287359237601</c:v>
                </c:pt>
                <c:pt idx="181">
                  <c:v>235.54193487167299</c:v>
                </c:pt>
                <c:pt idx="182">
                  <c:v>235.688918590545</c:v>
                </c:pt>
                <c:pt idx="183">
                  <c:v>234.91426782607999</c:v>
                </c:pt>
                <c:pt idx="184">
                  <c:v>235.11937990188599</c:v>
                </c:pt>
                <c:pt idx="185">
                  <c:v>234.28052129745399</c:v>
                </c:pt>
                <c:pt idx="186">
                  <c:v>235.609131813049</c:v>
                </c:pt>
                <c:pt idx="187">
                  <c:v>233.50537414550701</c:v>
                </c:pt>
                <c:pt idx="188">
                  <c:v>234.38610610961899</c:v>
                </c:pt>
                <c:pt idx="189">
                  <c:v>235.99800128936701</c:v>
                </c:pt>
                <c:pt idx="190">
                  <c:v>235.794776535034</c:v>
                </c:pt>
                <c:pt idx="191">
                  <c:v>237.77002019882201</c:v>
                </c:pt>
                <c:pt idx="192">
                  <c:v>240.937771987915</c:v>
                </c:pt>
                <c:pt idx="193">
                  <c:v>242.21169919967599</c:v>
                </c:pt>
                <c:pt idx="194">
                  <c:v>243.680596351623</c:v>
                </c:pt>
                <c:pt idx="195">
                  <c:v>244.27780590057299</c:v>
                </c:pt>
                <c:pt idx="196">
                  <c:v>244.979477882385</c:v>
                </c:pt>
                <c:pt idx="197">
                  <c:v>242.742582035064</c:v>
                </c:pt>
                <c:pt idx="198">
                  <c:v>242.29052915573101</c:v>
                </c:pt>
                <c:pt idx="199">
                  <c:v>234.85334634780801</c:v>
                </c:pt>
                <c:pt idx="200">
                  <c:v>236.56125802993699</c:v>
                </c:pt>
                <c:pt idx="201">
                  <c:v>231.70690841674801</c:v>
                </c:pt>
                <c:pt idx="202">
                  <c:v>235.44950170516901</c:v>
                </c:pt>
                <c:pt idx="203">
                  <c:v>234.73153066635101</c:v>
                </c:pt>
                <c:pt idx="204">
                  <c:v>234.57403993606499</c:v>
                </c:pt>
                <c:pt idx="205">
                  <c:v>233.71721162796001</c:v>
                </c:pt>
                <c:pt idx="206">
                  <c:v>235.16515817642201</c:v>
                </c:pt>
                <c:pt idx="207">
                  <c:v>233.19995107650701</c:v>
                </c:pt>
                <c:pt idx="208">
                  <c:v>236.809406471252</c:v>
                </c:pt>
                <c:pt idx="209">
                  <c:v>245.32538032531701</c:v>
                </c:pt>
                <c:pt idx="210">
                  <c:v>244.401294994354</c:v>
                </c:pt>
                <c:pt idx="211">
                  <c:v>247.03101139068599</c:v>
                </c:pt>
                <c:pt idx="212">
                  <c:v>249.70280437469401</c:v>
                </c:pt>
                <c:pt idx="213">
                  <c:v>247.27942523956301</c:v>
                </c:pt>
                <c:pt idx="214">
                  <c:v>246.72962732315</c:v>
                </c:pt>
                <c:pt idx="215">
                  <c:v>246.18847789764399</c:v>
                </c:pt>
                <c:pt idx="216">
                  <c:v>243.806086635589</c:v>
                </c:pt>
                <c:pt idx="217">
                  <c:v>243.261976146698</c:v>
                </c:pt>
                <c:pt idx="218">
                  <c:v>242.56451749801599</c:v>
                </c:pt>
                <c:pt idx="219">
                  <c:v>241.96458454131999</c:v>
                </c:pt>
                <c:pt idx="220">
                  <c:v>241.893515777587</c:v>
                </c:pt>
                <c:pt idx="221">
                  <c:v>243.17151222229</c:v>
                </c:pt>
                <c:pt idx="222">
                  <c:v>246.40557937622</c:v>
                </c:pt>
                <c:pt idx="223">
                  <c:v>246.977976799011</c:v>
                </c:pt>
                <c:pt idx="224">
                  <c:v>246.51870555877599</c:v>
                </c:pt>
                <c:pt idx="225">
                  <c:v>247.364854335784</c:v>
                </c:pt>
                <c:pt idx="226">
                  <c:v>245.58053512573201</c:v>
                </c:pt>
                <c:pt idx="227">
                  <c:v>245.88950376510601</c:v>
                </c:pt>
                <c:pt idx="228">
                  <c:v>245.713225650787</c:v>
                </c:pt>
                <c:pt idx="229">
                  <c:v>247.326525306701</c:v>
                </c:pt>
                <c:pt idx="230">
                  <c:v>248.11964941024701</c:v>
                </c:pt>
                <c:pt idx="231">
                  <c:v>248.05092401504501</c:v>
                </c:pt>
                <c:pt idx="232">
                  <c:v>247.93203878402699</c:v>
                </c:pt>
                <c:pt idx="233">
                  <c:v>247.99005079269401</c:v>
                </c:pt>
                <c:pt idx="234">
                  <c:v>247.85312490463201</c:v>
                </c:pt>
                <c:pt idx="235">
                  <c:v>247.04612264633101</c:v>
                </c:pt>
                <c:pt idx="236">
                  <c:v>248.30360403060899</c:v>
                </c:pt>
                <c:pt idx="237">
                  <c:v>246.457886314392</c:v>
                </c:pt>
                <c:pt idx="238">
                  <c:v>239.95978097915599</c:v>
                </c:pt>
                <c:pt idx="239">
                  <c:v>240.779502868652</c:v>
                </c:pt>
                <c:pt idx="240">
                  <c:v>243.89099407195999</c:v>
                </c:pt>
                <c:pt idx="241">
                  <c:v>244.06900653839099</c:v>
                </c:pt>
                <c:pt idx="242">
                  <c:v>247.01249332427901</c:v>
                </c:pt>
                <c:pt idx="243">
                  <c:v>247.244993495941</c:v>
                </c:pt>
                <c:pt idx="244">
                  <c:v>245.59599637985201</c:v>
                </c:pt>
                <c:pt idx="245">
                  <c:v>243.07450189590401</c:v>
                </c:pt>
                <c:pt idx="246">
                  <c:v>242.976506137847</c:v>
                </c:pt>
                <c:pt idx="247">
                  <c:v>244.16649923324499</c:v>
                </c:pt>
                <c:pt idx="248">
                  <c:v>245.942499160766</c:v>
                </c:pt>
                <c:pt idx="249">
                  <c:v>245.698998355865</c:v>
                </c:pt>
                <c:pt idx="250">
                  <c:v>244.823436069488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F9-4277-95E3-44A04C3EF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0475360"/>
        <c:axId val="740480760"/>
      </c:lineChart>
      <c:dateAx>
        <c:axId val="74047536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480760"/>
        <c:crosses val="autoZero"/>
        <c:auto val="1"/>
        <c:lblOffset val="100"/>
        <c:baseTimeUnit val="days"/>
      </c:dateAx>
      <c:valAx>
        <c:axId val="740480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0475360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S&amp;P500</a:t>
            </a:r>
            <a:r>
              <a:rPr lang="en-US" baseline="0"/>
              <a:t> Price History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'PRICE SP500'!$F$1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'PRICE SP500'!$A$2:$A$490</c:f>
              <c:numCache>
                <c:formatCode>m/d/yyyy</c:formatCode>
                <c:ptCount val="489"/>
                <c:pt idx="0">
                  <c:v>45300</c:v>
                </c:pt>
                <c:pt idx="1">
                  <c:v>45301</c:v>
                </c:pt>
                <c:pt idx="2">
                  <c:v>45302</c:v>
                </c:pt>
                <c:pt idx="3">
                  <c:v>45303</c:v>
                </c:pt>
                <c:pt idx="4">
                  <c:v>45307</c:v>
                </c:pt>
                <c:pt idx="5">
                  <c:v>45308</c:v>
                </c:pt>
                <c:pt idx="6">
                  <c:v>45309</c:v>
                </c:pt>
                <c:pt idx="7">
                  <c:v>45310</c:v>
                </c:pt>
                <c:pt idx="8">
                  <c:v>45313</c:v>
                </c:pt>
                <c:pt idx="9">
                  <c:v>45314</c:v>
                </c:pt>
                <c:pt idx="10">
                  <c:v>45315</c:v>
                </c:pt>
                <c:pt idx="11">
                  <c:v>45316</c:v>
                </c:pt>
                <c:pt idx="12">
                  <c:v>45317</c:v>
                </c:pt>
                <c:pt idx="13">
                  <c:v>45320</c:v>
                </c:pt>
                <c:pt idx="14">
                  <c:v>45321</c:v>
                </c:pt>
                <c:pt idx="15">
                  <c:v>45322</c:v>
                </c:pt>
                <c:pt idx="16">
                  <c:v>45323</c:v>
                </c:pt>
                <c:pt idx="17">
                  <c:v>45324</c:v>
                </c:pt>
                <c:pt idx="18">
                  <c:v>45327</c:v>
                </c:pt>
                <c:pt idx="19">
                  <c:v>45328</c:v>
                </c:pt>
                <c:pt idx="20">
                  <c:v>45329</c:v>
                </c:pt>
                <c:pt idx="21">
                  <c:v>45330</c:v>
                </c:pt>
                <c:pt idx="22">
                  <c:v>45331</c:v>
                </c:pt>
                <c:pt idx="23">
                  <c:v>45334</c:v>
                </c:pt>
                <c:pt idx="24">
                  <c:v>45335</c:v>
                </c:pt>
                <c:pt idx="25">
                  <c:v>45336</c:v>
                </c:pt>
                <c:pt idx="26">
                  <c:v>45337</c:v>
                </c:pt>
                <c:pt idx="27">
                  <c:v>45338</c:v>
                </c:pt>
                <c:pt idx="28">
                  <c:v>45342</c:v>
                </c:pt>
                <c:pt idx="29">
                  <c:v>45343</c:v>
                </c:pt>
                <c:pt idx="30">
                  <c:v>45344</c:v>
                </c:pt>
                <c:pt idx="31">
                  <c:v>45345</c:v>
                </c:pt>
                <c:pt idx="32">
                  <c:v>45348</c:v>
                </c:pt>
                <c:pt idx="33">
                  <c:v>45349</c:v>
                </c:pt>
                <c:pt idx="34">
                  <c:v>45350</c:v>
                </c:pt>
                <c:pt idx="35">
                  <c:v>45351</c:v>
                </c:pt>
                <c:pt idx="36">
                  <c:v>45352</c:v>
                </c:pt>
                <c:pt idx="37">
                  <c:v>45355</c:v>
                </c:pt>
                <c:pt idx="38">
                  <c:v>45356</c:v>
                </c:pt>
                <c:pt idx="39">
                  <c:v>45357</c:v>
                </c:pt>
                <c:pt idx="40">
                  <c:v>45358</c:v>
                </c:pt>
                <c:pt idx="41">
                  <c:v>45359</c:v>
                </c:pt>
                <c:pt idx="42">
                  <c:v>45362</c:v>
                </c:pt>
                <c:pt idx="43">
                  <c:v>45363</c:v>
                </c:pt>
                <c:pt idx="44">
                  <c:v>45364</c:v>
                </c:pt>
                <c:pt idx="45">
                  <c:v>45365</c:v>
                </c:pt>
                <c:pt idx="46">
                  <c:v>45366</c:v>
                </c:pt>
                <c:pt idx="47">
                  <c:v>45369</c:v>
                </c:pt>
                <c:pt idx="48">
                  <c:v>45370</c:v>
                </c:pt>
                <c:pt idx="49">
                  <c:v>45371</c:v>
                </c:pt>
                <c:pt idx="50">
                  <c:v>45372</c:v>
                </c:pt>
                <c:pt idx="51">
                  <c:v>45373</c:v>
                </c:pt>
                <c:pt idx="52">
                  <c:v>45376</c:v>
                </c:pt>
                <c:pt idx="53">
                  <c:v>45377</c:v>
                </c:pt>
                <c:pt idx="54">
                  <c:v>45378</c:v>
                </c:pt>
                <c:pt idx="55">
                  <c:v>45379</c:v>
                </c:pt>
                <c:pt idx="56">
                  <c:v>45383</c:v>
                </c:pt>
                <c:pt idx="57">
                  <c:v>45384</c:v>
                </c:pt>
                <c:pt idx="58">
                  <c:v>45385</c:v>
                </c:pt>
                <c:pt idx="59">
                  <c:v>45386</c:v>
                </c:pt>
                <c:pt idx="60">
                  <c:v>45387</c:v>
                </c:pt>
                <c:pt idx="61">
                  <c:v>45390</c:v>
                </c:pt>
                <c:pt idx="62">
                  <c:v>45391</c:v>
                </c:pt>
                <c:pt idx="63">
                  <c:v>45392</c:v>
                </c:pt>
                <c:pt idx="64">
                  <c:v>45393</c:v>
                </c:pt>
                <c:pt idx="65">
                  <c:v>45394</c:v>
                </c:pt>
                <c:pt idx="66">
                  <c:v>45397</c:v>
                </c:pt>
                <c:pt idx="67">
                  <c:v>45398</c:v>
                </c:pt>
                <c:pt idx="68">
                  <c:v>45399</c:v>
                </c:pt>
                <c:pt idx="69">
                  <c:v>45400</c:v>
                </c:pt>
                <c:pt idx="70">
                  <c:v>45401</c:v>
                </c:pt>
                <c:pt idx="71">
                  <c:v>45404</c:v>
                </c:pt>
                <c:pt idx="72">
                  <c:v>45405</c:v>
                </c:pt>
                <c:pt idx="73">
                  <c:v>45406</c:v>
                </c:pt>
                <c:pt idx="74">
                  <c:v>45407</c:v>
                </c:pt>
                <c:pt idx="75">
                  <c:v>45408</c:v>
                </c:pt>
                <c:pt idx="76">
                  <c:v>45411</c:v>
                </c:pt>
                <c:pt idx="77">
                  <c:v>45412</c:v>
                </c:pt>
                <c:pt idx="78">
                  <c:v>45413</c:v>
                </c:pt>
                <c:pt idx="79">
                  <c:v>45414</c:v>
                </c:pt>
                <c:pt idx="80">
                  <c:v>45415</c:v>
                </c:pt>
                <c:pt idx="81">
                  <c:v>45418</c:v>
                </c:pt>
                <c:pt idx="82">
                  <c:v>45419</c:v>
                </c:pt>
                <c:pt idx="83">
                  <c:v>45420</c:v>
                </c:pt>
                <c:pt idx="84">
                  <c:v>45421</c:v>
                </c:pt>
                <c:pt idx="85">
                  <c:v>45422</c:v>
                </c:pt>
                <c:pt idx="86">
                  <c:v>45425</c:v>
                </c:pt>
                <c:pt idx="87">
                  <c:v>45426</c:v>
                </c:pt>
                <c:pt idx="88">
                  <c:v>45427</c:v>
                </c:pt>
                <c:pt idx="89">
                  <c:v>45428</c:v>
                </c:pt>
                <c:pt idx="90">
                  <c:v>45429</c:v>
                </c:pt>
                <c:pt idx="91">
                  <c:v>45432</c:v>
                </c:pt>
                <c:pt idx="92">
                  <c:v>45433</c:v>
                </c:pt>
                <c:pt idx="93">
                  <c:v>45434</c:v>
                </c:pt>
                <c:pt idx="94">
                  <c:v>45435</c:v>
                </c:pt>
                <c:pt idx="95">
                  <c:v>45436</c:v>
                </c:pt>
                <c:pt idx="96">
                  <c:v>45440</c:v>
                </c:pt>
                <c:pt idx="97">
                  <c:v>45441</c:v>
                </c:pt>
                <c:pt idx="98">
                  <c:v>45442</c:v>
                </c:pt>
                <c:pt idx="99">
                  <c:v>45443</c:v>
                </c:pt>
                <c:pt idx="100">
                  <c:v>45446</c:v>
                </c:pt>
                <c:pt idx="101">
                  <c:v>45447</c:v>
                </c:pt>
                <c:pt idx="102">
                  <c:v>45448</c:v>
                </c:pt>
                <c:pt idx="103">
                  <c:v>45449</c:v>
                </c:pt>
                <c:pt idx="104">
                  <c:v>45450</c:v>
                </c:pt>
                <c:pt idx="105">
                  <c:v>45453</c:v>
                </c:pt>
                <c:pt idx="106">
                  <c:v>45454</c:v>
                </c:pt>
                <c:pt idx="107">
                  <c:v>45455</c:v>
                </c:pt>
                <c:pt idx="108">
                  <c:v>45456</c:v>
                </c:pt>
                <c:pt idx="109">
                  <c:v>45457</c:v>
                </c:pt>
                <c:pt idx="110">
                  <c:v>45460</c:v>
                </c:pt>
                <c:pt idx="111">
                  <c:v>45461</c:v>
                </c:pt>
                <c:pt idx="112">
                  <c:v>45463</c:v>
                </c:pt>
                <c:pt idx="113">
                  <c:v>45464</c:v>
                </c:pt>
                <c:pt idx="114">
                  <c:v>45467</c:v>
                </c:pt>
                <c:pt idx="115">
                  <c:v>45468</c:v>
                </c:pt>
                <c:pt idx="116">
                  <c:v>45469</c:v>
                </c:pt>
                <c:pt idx="117">
                  <c:v>45470</c:v>
                </c:pt>
                <c:pt idx="118">
                  <c:v>45471</c:v>
                </c:pt>
                <c:pt idx="119">
                  <c:v>45474</c:v>
                </c:pt>
                <c:pt idx="120">
                  <c:v>45475</c:v>
                </c:pt>
                <c:pt idx="121">
                  <c:v>45476</c:v>
                </c:pt>
                <c:pt idx="122">
                  <c:v>45478</c:v>
                </c:pt>
                <c:pt idx="123">
                  <c:v>45481</c:v>
                </c:pt>
                <c:pt idx="124">
                  <c:v>45482</c:v>
                </c:pt>
                <c:pt idx="125">
                  <c:v>45483</c:v>
                </c:pt>
                <c:pt idx="126">
                  <c:v>45484</c:v>
                </c:pt>
                <c:pt idx="127">
                  <c:v>45485</c:v>
                </c:pt>
                <c:pt idx="128">
                  <c:v>45488</c:v>
                </c:pt>
                <c:pt idx="129">
                  <c:v>45489</c:v>
                </c:pt>
                <c:pt idx="130">
                  <c:v>45490</c:v>
                </c:pt>
                <c:pt idx="131">
                  <c:v>45491</c:v>
                </c:pt>
                <c:pt idx="132">
                  <c:v>45492</c:v>
                </c:pt>
                <c:pt idx="133">
                  <c:v>45495</c:v>
                </c:pt>
                <c:pt idx="134">
                  <c:v>45496</c:v>
                </c:pt>
                <c:pt idx="135">
                  <c:v>45497</c:v>
                </c:pt>
                <c:pt idx="136">
                  <c:v>45498</c:v>
                </c:pt>
                <c:pt idx="137">
                  <c:v>45499</c:v>
                </c:pt>
                <c:pt idx="138">
                  <c:v>45502</c:v>
                </c:pt>
                <c:pt idx="139">
                  <c:v>45503</c:v>
                </c:pt>
                <c:pt idx="140">
                  <c:v>45504</c:v>
                </c:pt>
                <c:pt idx="141">
                  <c:v>45505</c:v>
                </c:pt>
                <c:pt idx="142">
                  <c:v>45506</c:v>
                </c:pt>
                <c:pt idx="143">
                  <c:v>45509</c:v>
                </c:pt>
                <c:pt idx="144">
                  <c:v>45510</c:v>
                </c:pt>
                <c:pt idx="145">
                  <c:v>45511</c:v>
                </c:pt>
                <c:pt idx="146">
                  <c:v>45512</c:v>
                </c:pt>
                <c:pt idx="147">
                  <c:v>45513</c:v>
                </c:pt>
                <c:pt idx="148">
                  <c:v>45516</c:v>
                </c:pt>
                <c:pt idx="149">
                  <c:v>45517</c:v>
                </c:pt>
                <c:pt idx="150">
                  <c:v>45518</c:v>
                </c:pt>
                <c:pt idx="151">
                  <c:v>45519</c:v>
                </c:pt>
                <c:pt idx="152">
                  <c:v>45520</c:v>
                </c:pt>
                <c:pt idx="153">
                  <c:v>45523</c:v>
                </c:pt>
                <c:pt idx="154">
                  <c:v>45524</c:v>
                </c:pt>
                <c:pt idx="155">
                  <c:v>45525</c:v>
                </c:pt>
                <c:pt idx="156">
                  <c:v>45526</c:v>
                </c:pt>
                <c:pt idx="157">
                  <c:v>45527</c:v>
                </c:pt>
                <c:pt idx="158">
                  <c:v>45530</c:v>
                </c:pt>
                <c:pt idx="159">
                  <c:v>45531</c:v>
                </c:pt>
                <c:pt idx="160">
                  <c:v>45532</c:v>
                </c:pt>
                <c:pt idx="161">
                  <c:v>45533</c:v>
                </c:pt>
                <c:pt idx="162">
                  <c:v>45534</c:v>
                </c:pt>
                <c:pt idx="163">
                  <c:v>45538</c:v>
                </c:pt>
                <c:pt idx="164">
                  <c:v>45539</c:v>
                </c:pt>
                <c:pt idx="165">
                  <c:v>45540</c:v>
                </c:pt>
                <c:pt idx="166">
                  <c:v>45541</c:v>
                </c:pt>
                <c:pt idx="167">
                  <c:v>45544</c:v>
                </c:pt>
                <c:pt idx="168">
                  <c:v>45545</c:v>
                </c:pt>
                <c:pt idx="169">
                  <c:v>45546</c:v>
                </c:pt>
                <c:pt idx="170">
                  <c:v>45547</c:v>
                </c:pt>
                <c:pt idx="171">
                  <c:v>45548</c:v>
                </c:pt>
                <c:pt idx="172">
                  <c:v>45551</c:v>
                </c:pt>
                <c:pt idx="173">
                  <c:v>45552</c:v>
                </c:pt>
                <c:pt idx="174">
                  <c:v>45553</c:v>
                </c:pt>
                <c:pt idx="175">
                  <c:v>45554</c:v>
                </c:pt>
                <c:pt idx="176">
                  <c:v>45555</c:v>
                </c:pt>
                <c:pt idx="177">
                  <c:v>45558</c:v>
                </c:pt>
                <c:pt idx="178">
                  <c:v>45559</c:v>
                </c:pt>
                <c:pt idx="179">
                  <c:v>45560</c:v>
                </c:pt>
                <c:pt idx="180">
                  <c:v>45561</c:v>
                </c:pt>
                <c:pt idx="181">
                  <c:v>45562</c:v>
                </c:pt>
                <c:pt idx="182">
                  <c:v>45565</c:v>
                </c:pt>
                <c:pt idx="183">
                  <c:v>45566</c:v>
                </c:pt>
                <c:pt idx="184">
                  <c:v>45567</c:v>
                </c:pt>
                <c:pt idx="185">
                  <c:v>45568</c:v>
                </c:pt>
                <c:pt idx="186">
                  <c:v>45569</c:v>
                </c:pt>
                <c:pt idx="187">
                  <c:v>45572</c:v>
                </c:pt>
                <c:pt idx="188">
                  <c:v>45573</c:v>
                </c:pt>
                <c:pt idx="189">
                  <c:v>45574</c:v>
                </c:pt>
                <c:pt idx="190">
                  <c:v>45575</c:v>
                </c:pt>
                <c:pt idx="191">
                  <c:v>45576</c:v>
                </c:pt>
                <c:pt idx="192">
                  <c:v>45579</c:v>
                </c:pt>
                <c:pt idx="193">
                  <c:v>45580</c:v>
                </c:pt>
                <c:pt idx="194">
                  <c:v>45581</c:v>
                </c:pt>
                <c:pt idx="195">
                  <c:v>45582</c:v>
                </c:pt>
                <c:pt idx="196">
                  <c:v>45583</c:v>
                </c:pt>
                <c:pt idx="197">
                  <c:v>45586</c:v>
                </c:pt>
                <c:pt idx="198">
                  <c:v>45587</c:v>
                </c:pt>
                <c:pt idx="199">
                  <c:v>45588</c:v>
                </c:pt>
                <c:pt idx="200">
                  <c:v>45589</c:v>
                </c:pt>
                <c:pt idx="201">
                  <c:v>45590</c:v>
                </c:pt>
                <c:pt idx="202">
                  <c:v>45593</c:v>
                </c:pt>
                <c:pt idx="203">
                  <c:v>45594</c:v>
                </c:pt>
                <c:pt idx="204">
                  <c:v>45595</c:v>
                </c:pt>
                <c:pt idx="205">
                  <c:v>45596</c:v>
                </c:pt>
                <c:pt idx="206">
                  <c:v>45597</c:v>
                </c:pt>
                <c:pt idx="207">
                  <c:v>45600</c:v>
                </c:pt>
                <c:pt idx="208">
                  <c:v>45601</c:v>
                </c:pt>
                <c:pt idx="209">
                  <c:v>45602</c:v>
                </c:pt>
                <c:pt idx="210">
                  <c:v>45603</c:v>
                </c:pt>
                <c:pt idx="211">
                  <c:v>45604</c:v>
                </c:pt>
                <c:pt idx="212">
                  <c:v>45607</c:v>
                </c:pt>
                <c:pt idx="213">
                  <c:v>45608</c:v>
                </c:pt>
                <c:pt idx="214">
                  <c:v>45609</c:v>
                </c:pt>
                <c:pt idx="215">
                  <c:v>45610</c:v>
                </c:pt>
                <c:pt idx="216">
                  <c:v>45611</c:v>
                </c:pt>
                <c:pt idx="217">
                  <c:v>45614</c:v>
                </c:pt>
                <c:pt idx="218">
                  <c:v>45615</c:v>
                </c:pt>
                <c:pt idx="219">
                  <c:v>45616</c:v>
                </c:pt>
                <c:pt idx="220">
                  <c:v>45617</c:v>
                </c:pt>
                <c:pt idx="221">
                  <c:v>45618</c:v>
                </c:pt>
                <c:pt idx="222">
                  <c:v>45621</c:v>
                </c:pt>
                <c:pt idx="223">
                  <c:v>45622</c:v>
                </c:pt>
                <c:pt idx="224">
                  <c:v>45623</c:v>
                </c:pt>
                <c:pt idx="225">
                  <c:v>45625</c:v>
                </c:pt>
                <c:pt idx="226">
                  <c:v>45628</c:v>
                </c:pt>
                <c:pt idx="227">
                  <c:v>45629</c:v>
                </c:pt>
                <c:pt idx="228">
                  <c:v>45630</c:v>
                </c:pt>
                <c:pt idx="229">
                  <c:v>45631</c:v>
                </c:pt>
                <c:pt idx="230">
                  <c:v>45632</c:v>
                </c:pt>
                <c:pt idx="231">
                  <c:v>45635</c:v>
                </c:pt>
                <c:pt idx="232">
                  <c:v>45636</c:v>
                </c:pt>
                <c:pt idx="233">
                  <c:v>45637</c:v>
                </c:pt>
                <c:pt idx="234">
                  <c:v>45638</c:v>
                </c:pt>
                <c:pt idx="235">
                  <c:v>45639</c:v>
                </c:pt>
                <c:pt idx="236">
                  <c:v>45642</c:v>
                </c:pt>
                <c:pt idx="237">
                  <c:v>45643</c:v>
                </c:pt>
                <c:pt idx="238">
                  <c:v>45644</c:v>
                </c:pt>
                <c:pt idx="239">
                  <c:v>45645</c:v>
                </c:pt>
                <c:pt idx="240">
                  <c:v>45646</c:v>
                </c:pt>
                <c:pt idx="241">
                  <c:v>45649</c:v>
                </c:pt>
                <c:pt idx="242">
                  <c:v>45650</c:v>
                </c:pt>
                <c:pt idx="243">
                  <c:v>45652</c:v>
                </c:pt>
                <c:pt idx="244">
                  <c:v>45653</c:v>
                </c:pt>
                <c:pt idx="245">
                  <c:v>45656</c:v>
                </c:pt>
                <c:pt idx="246">
                  <c:v>45657</c:v>
                </c:pt>
                <c:pt idx="247">
                  <c:v>45659</c:v>
                </c:pt>
                <c:pt idx="248">
                  <c:v>45660</c:v>
                </c:pt>
                <c:pt idx="249">
                  <c:v>45663</c:v>
                </c:pt>
                <c:pt idx="250">
                  <c:v>45664</c:v>
                </c:pt>
              </c:numCache>
            </c:numRef>
          </c:cat>
          <c:val>
            <c:numRef>
              <c:f>'PRICE SP500'!$F$2:$F$490</c:f>
              <c:numCache>
                <c:formatCode>General</c:formatCode>
                <c:ptCount val="489"/>
                <c:pt idx="0">
                  <c:v>4756.5</c:v>
                </c:pt>
                <c:pt idx="1">
                  <c:v>4783.4501953125</c:v>
                </c:pt>
                <c:pt idx="2">
                  <c:v>4780.240234375</c:v>
                </c:pt>
                <c:pt idx="3">
                  <c:v>4783.830078125</c:v>
                </c:pt>
                <c:pt idx="4">
                  <c:v>4765.97998046875</c:v>
                </c:pt>
                <c:pt idx="5">
                  <c:v>4739.2099609375</c:v>
                </c:pt>
                <c:pt idx="6">
                  <c:v>4780.93994140625</c:v>
                </c:pt>
                <c:pt idx="7">
                  <c:v>4839.81005859375</c:v>
                </c:pt>
                <c:pt idx="8">
                  <c:v>4850.43017578125</c:v>
                </c:pt>
                <c:pt idx="9">
                  <c:v>4864.60009765625</c:v>
                </c:pt>
                <c:pt idx="10">
                  <c:v>4868.5498046875</c:v>
                </c:pt>
                <c:pt idx="11">
                  <c:v>4894.16015625</c:v>
                </c:pt>
                <c:pt idx="12">
                  <c:v>4890.97021484375</c:v>
                </c:pt>
                <c:pt idx="13">
                  <c:v>4927.93017578125</c:v>
                </c:pt>
                <c:pt idx="14">
                  <c:v>4924.97021484375</c:v>
                </c:pt>
                <c:pt idx="15">
                  <c:v>4845.64990234375</c:v>
                </c:pt>
                <c:pt idx="16">
                  <c:v>4906.18994140625</c:v>
                </c:pt>
                <c:pt idx="17">
                  <c:v>4958.60986328125</c:v>
                </c:pt>
                <c:pt idx="18">
                  <c:v>4942.81005859375</c:v>
                </c:pt>
                <c:pt idx="19">
                  <c:v>4954.22998046875</c:v>
                </c:pt>
                <c:pt idx="20">
                  <c:v>4995.06005859375</c:v>
                </c:pt>
                <c:pt idx="21">
                  <c:v>4997.91015625</c:v>
                </c:pt>
                <c:pt idx="22">
                  <c:v>5026.60986328125</c:v>
                </c:pt>
                <c:pt idx="23">
                  <c:v>5021.83984375</c:v>
                </c:pt>
                <c:pt idx="24">
                  <c:v>4953.169921875</c:v>
                </c:pt>
                <c:pt idx="25">
                  <c:v>5000.6201171875</c:v>
                </c:pt>
                <c:pt idx="26">
                  <c:v>5029.72998046875</c:v>
                </c:pt>
                <c:pt idx="27">
                  <c:v>5005.56982421875</c:v>
                </c:pt>
                <c:pt idx="28">
                  <c:v>4975.509765625</c:v>
                </c:pt>
                <c:pt idx="29">
                  <c:v>4981.7998046875</c:v>
                </c:pt>
                <c:pt idx="30">
                  <c:v>5087.02978515625</c:v>
                </c:pt>
                <c:pt idx="31">
                  <c:v>5088.7998046875</c:v>
                </c:pt>
                <c:pt idx="32">
                  <c:v>5069.52978515625</c:v>
                </c:pt>
                <c:pt idx="33">
                  <c:v>5078.18017578125</c:v>
                </c:pt>
                <c:pt idx="34">
                  <c:v>5069.759765625</c:v>
                </c:pt>
                <c:pt idx="35">
                  <c:v>5096.27001953125</c:v>
                </c:pt>
                <c:pt idx="36">
                  <c:v>5137.080078125</c:v>
                </c:pt>
                <c:pt idx="37">
                  <c:v>5130.9501953125</c:v>
                </c:pt>
                <c:pt idx="38">
                  <c:v>5078.64990234375</c:v>
                </c:pt>
                <c:pt idx="39">
                  <c:v>5104.759765625</c:v>
                </c:pt>
                <c:pt idx="40">
                  <c:v>5157.35986328125</c:v>
                </c:pt>
                <c:pt idx="41">
                  <c:v>5123.68994140625</c:v>
                </c:pt>
                <c:pt idx="42">
                  <c:v>5117.93994140625</c:v>
                </c:pt>
                <c:pt idx="43">
                  <c:v>5175.27001953125</c:v>
                </c:pt>
                <c:pt idx="44">
                  <c:v>5165.31005859375</c:v>
                </c:pt>
                <c:pt idx="45">
                  <c:v>5150.47998046875</c:v>
                </c:pt>
                <c:pt idx="46">
                  <c:v>5117.08984375</c:v>
                </c:pt>
                <c:pt idx="47">
                  <c:v>5149.419921875</c:v>
                </c:pt>
                <c:pt idx="48">
                  <c:v>5178.509765625</c:v>
                </c:pt>
                <c:pt idx="49">
                  <c:v>5224.6201171875</c:v>
                </c:pt>
                <c:pt idx="50">
                  <c:v>5241.52978515625</c:v>
                </c:pt>
                <c:pt idx="51">
                  <c:v>5234.18017578125</c:v>
                </c:pt>
                <c:pt idx="52">
                  <c:v>5218.18994140625</c:v>
                </c:pt>
                <c:pt idx="53">
                  <c:v>5203.580078125</c:v>
                </c:pt>
                <c:pt idx="54">
                  <c:v>5248.490234375</c:v>
                </c:pt>
                <c:pt idx="55">
                  <c:v>5254.35009765625</c:v>
                </c:pt>
                <c:pt idx="56">
                  <c:v>5243.77001953125</c:v>
                </c:pt>
                <c:pt idx="57">
                  <c:v>5205.81005859375</c:v>
                </c:pt>
                <c:pt idx="58">
                  <c:v>5211.490234375</c:v>
                </c:pt>
                <c:pt idx="59">
                  <c:v>5147.2099609375</c:v>
                </c:pt>
                <c:pt idx="60">
                  <c:v>5204.33984375</c:v>
                </c:pt>
                <c:pt idx="61">
                  <c:v>5202.39013671875</c:v>
                </c:pt>
                <c:pt idx="62">
                  <c:v>5209.91015625</c:v>
                </c:pt>
                <c:pt idx="63">
                  <c:v>5160.64013671875</c:v>
                </c:pt>
                <c:pt idx="64">
                  <c:v>5199.06005859375</c:v>
                </c:pt>
                <c:pt idx="65">
                  <c:v>5123.41015625</c:v>
                </c:pt>
                <c:pt idx="66">
                  <c:v>5061.81982421875</c:v>
                </c:pt>
                <c:pt idx="67">
                  <c:v>5051.41015625</c:v>
                </c:pt>
                <c:pt idx="68">
                  <c:v>5022.2099609375</c:v>
                </c:pt>
                <c:pt idx="69">
                  <c:v>5011.1201171875</c:v>
                </c:pt>
                <c:pt idx="70">
                  <c:v>4967.22998046875</c:v>
                </c:pt>
                <c:pt idx="71">
                  <c:v>5010.60009765625</c:v>
                </c:pt>
                <c:pt idx="72">
                  <c:v>5070.5498046875</c:v>
                </c:pt>
                <c:pt idx="73">
                  <c:v>5071.6298828125</c:v>
                </c:pt>
                <c:pt idx="74">
                  <c:v>5048.419921875</c:v>
                </c:pt>
                <c:pt idx="75">
                  <c:v>5099.9599609375</c:v>
                </c:pt>
                <c:pt idx="76">
                  <c:v>5116.169921875</c:v>
                </c:pt>
                <c:pt idx="77">
                  <c:v>5035.68994140625</c:v>
                </c:pt>
                <c:pt idx="78">
                  <c:v>5018.39013671875</c:v>
                </c:pt>
                <c:pt idx="79">
                  <c:v>5064.2001953125</c:v>
                </c:pt>
                <c:pt idx="80">
                  <c:v>5127.7900390625</c:v>
                </c:pt>
                <c:pt idx="81">
                  <c:v>5180.740234375</c:v>
                </c:pt>
                <c:pt idx="82">
                  <c:v>5187.7001953125</c:v>
                </c:pt>
                <c:pt idx="83">
                  <c:v>5187.669921875</c:v>
                </c:pt>
                <c:pt idx="84">
                  <c:v>5214.080078125</c:v>
                </c:pt>
                <c:pt idx="85">
                  <c:v>5222.68017578125</c:v>
                </c:pt>
                <c:pt idx="86">
                  <c:v>5221.419921875</c:v>
                </c:pt>
                <c:pt idx="87">
                  <c:v>5246.68017578125</c:v>
                </c:pt>
                <c:pt idx="88">
                  <c:v>5308.14990234375</c:v>
                </c:pt>
                <c:pt idx="89">
                  <c:v>5297.10009765625</c:v>
                </c:pt>
                <c:pt idx="90">
                  <c:v>5303.27001953125</c:v>
                </c:pt>
                <c:pt idx="91">
                  <c:v>5308.1298828125</c:v>
                </c:pt>
                <c:pt idx="92">
                  <c:v>5321.41015625</c:v>
                </c:pt>
                <c:pt idx="93">
                  <c:v>5307.009765625</c:v>
                </c:pt>
                <c:pt idx="94">
                  <c:v>5267.83984375</c:v>
                </c:pt>
                <c:pt idx="95">
                  <c:v>5304.72021484375</c:v>
                </c:pt>
                <c:pt idx="96">
                  <c:v>5306.0400390625</c:v>
                </c:pt>
                <c:pt idx="97">
                  <c:v>5266.9501953125</c:v>
                </c:pt>
                <c:pt idx="98">
                  <c:v>5235.47998046875</c:v>
                </c:pt>
                <c:pt idx="99">
                  <c:v>5277.509765625</c:v>
                </c:pt>
                <c:pt idx="100">
                  <c:v>5283.39990234375</c:v>
                </c:pt>
                <c:pt idx="101">
                  <c:v>5291.33984375</c:v>
                </c:pt>
                <c:pt idx="102">
                  <c:v>5354.02978515625</c:v>
                </c:pt>
                <c:pt idx="103">
                  <c:v>5352.9599609375</c:v>
                </c:pt>
                <c:pt idx="104">
                  <c:v>5346.990234375</c:v>
                </c:pt>
                <c:pt idx="105">
                  <c:v>5360.7900390625</c:v>
                </c:pt>
                <c:pt idx="106">
                  <c:v>5375.31982421875</c:v>
                </c:pt>
                <c:pt idx="107">
                  <c:v>5421.02978515625</c:v>
                </c:pt>
                <c:pt idx="108">
                  <c:v>5433.740234375</c:v>
                </c:pt>
                <c:pt idx="109">
                  <c:v>5431.60009765625</c:v>
                </c:pt>
                <c:pt idx="110">
                  <c:v>5473.22998046875</c:v>
                </c:pt>
                <c:pt idx="111">
                  <c:v>5487.02978515625</c:v>
                </c:pt>
                <c:pt idx="112">
                  <c:v>5473.169921875</c:v>
                </c:pt>
                <c:pt idx="113">
                  <c:v>5464.6201171875</c:v>
                </c:pt>
                <c:pt idx="114">
                  <c:v>5447.8701171875</c:v>
                </c:pt>
                <c:pt idx="115">
                  <c:v>5469.2998046875</c:v>
                </c:pt>
                <c:pt idx="116">
                  <c:v>5477.89990234375</c:v>
                </c:pt>
                <c:pt idx="117">
                  <c:v>5482.8701171875</c:v>
                </c:pt>
                <c:pt idx="118">
                  <c:v>5460.47998046875</c:v>
                </c:pt>
                <c:pt idx="119">
                  <c:v>5475.08984375</c:v>
                </c:pt>
                <c:pt idx="120">
                  <c:v>5509.009765625</c:v>
                </c:pt>
                <c:pt idx="121">
                  <c:v>5537.02001953125</c:v>
                </c:pt>
                <c:pt idx="122">
                  <c:v>5567.18994140625</c:v>
                </c:pt>
                <c:pt idx="123">
                  <c:v>5572.85009765625</c:v>
                </c:pt>
                <c:pt idx="124">
                  <c:v>5576.97998046875</c:v>
                </c:pt>
                <c:pt idx="125">
                  <c:v>5633.91015625</c:v>
                </c:pt>
                <c:pt idx="126">
                  <c:v>5584.5400390625</c:v>
                </c:pt>
                <c:pt idx="127">
                  <c:v>5615.35009765625</c:v>
                </c:pt>
                <c:pt idx="128">
                  <c:v>5631.22021484375</c:v>
                </c:pt>
                <c:pt idx="129">
                  <c:v>5667.2001953125</c:v>
                </c:pt>
                <c:pt idx="130">
                  <c:v>5588.27001953125</c:v>
                </c:pt>
                <c:pt idx="131">
                  <c:v>5544.58984375</c:v>
                </c:pt>
                <c:pt idx="132">
                  <c:v>5505</c:v>
                </c:pt>
                <c:pt idx="133">
                  <c:v>5564.41015625</c:v>
                </c:pt>
                <c:pt idx="134">
                  <c:v>5555.740234375</c:v>
                </c:pt>
                <c:pt idx="135">
                  <c:v>5427.1298828125</c:v>
                </c:pt>
                <c:pt idx="136">
                  <c:v>5399.22021484375</c:v>
                </c:pt>
                <c:pt idx="137">
                  <c:v>5459.10009765625</c:v>
                </c:pt>
                <c:pt idx="138">
                  <c:v>5463.5400390625</c:v>
                </c:pt>
                <c:pt idx="139">
                  <c:v>5436.43994140625</c:v>
                </c:pt>
                <c:pt idx="140">
                  <c:v>5522.2998046875</c:v>
                </c:pt>
                <c:pt idx="141">
                  <c:v>5446.68017578125</c:v>
                </c:pt>
                <c:pt idx="142">
                  <c:v>5346.56005859375</c:v>
                </c:pt>
                <c:pt idx="143">
                  <c:v>5186.330078125</c:v>
                </c:pt>
                <c:pt idx="144">
                  <c:v>5240.02978515625</c:v>
                </c:pt>
                <c:pt idx="145">
                  <c:v>5199.5</c:v>
                </c:pt>
                <c:pt idx="146">
                  <c:v>5319.31005859375</c:v>
                </c:pt>
                <c:pt idx="147">
                  <c:v>5344.16015625</c:v>
                </c:pt>
                <c:pt idx="148">
                  <c:v>5344.39013671875</c:v>
                </c:pt>
                <c:pt idx="149">
                  <c:v>5434.43017578125</c:v>
                </c:pt>
                <c:pt idx="150">
                  <c:v>5455.2099609375</c:v>
                </c:pt>
                <c:pt idx="151">
                  <c:v>5543.22021484375</c:v>
                </c:pt>
                <c:pt idx="152">
                  <c:v>5554.25</c:v>
                </c:pt>
                <c:pt idx="153">
                  <c:v>5608.25</c:v>
                </c:pt>
                <c:pt idx="154">
                  <c:v>5597.1201171875</c:v>
                </c:pt>
                <c:pt idx="155">
                  <c:v>5620.85009765625</c:v>
                </c:pt>
                <c:pt idx="156">
                  <c:v>5570.64013671875</c:v>
                </c:pt>
                <c:pt idx="157">
                  <c:v>5634.60986328125</c:v>
                </c:pt>
                <c:pt idx="158">
                  <c:v>5616.83984375</c:v>
                </c:pt>
                <c:pt idx="159">
                  <c:v>5625.7998046875</c:v>
                </c:pt>
                <c:pt idx="160">
                  <c:v>5592.18017578125</c:v>
                </c:pt>
                <c:pt idx="161">
                  <c:v>5591.9599609375</c:v>
                </c:pt>
                <c:pt idx="162">
                  <c:v>5648.39990234375</c:v>
                </c:pt>
                <c:pt idx="163">
                  <c:v>5528.93017578125</c:v>
                </c:pt>
                <c:pt idx="164">
                  <c:v>5520.06982421875</c:v>
                </c:pt>
                <c:pt idx="165">
                  <c:v>5503.41015625</c:v>
                </c:pt>
                <c:pt idx="166">
                  <c:v>5408.419921875</c:v>
                </c:pt>
                <c:pt idx="167">
                  <c:v>5471.0498046875</c:v>
                </c:pt>
                <c:pt idx="168">
                  <c:v>5495.52001953125</c:v>
                </c:pt>
                <c:pt idx="169">
                  <c:v>5554.1298828125</c:v>
                </c:pt>
                <c:pt idx="170">
                  <c:v>5595.759765625</c:v>
                </c:pt>
                <c:pt idx="171">
                  <c:v>5626.02001953125</c:v>
                </c:pt>
                <c:pt idx="172">
                  <c:v>5633.08984375</c:v>
                </c:pt>
                <c:pt idx="173">
                  <c:v>5634.580078125</c:v>
                </c:pt>
                <c:pt idx="174">
                  <c:v>5618.259765625</c:v>
                </c:pt>
                <c:pt idx="175">
                  <c:v>5713.64013671875</c:v>
                </c:pt>
                <c:pt idx="176">
                  <c:v>5702.5498046875</c:v>
                </c:pt>
                <c:pt idx="177">
                  <c:v>5718.56982421875</c:v>
                </c:pt>
                <c:pt idx="178">
                  <c:v>5732.93017578125</c:v>
                </c:pt>
                <c:pt idx="179">
                  <c:v>5722.259765625</c:v>
                </c:pt>
                <c:pt idx="180">
                  <c:v>5745.3701171875</c:v>
                </c:pt>
                <c:pt idx="181">
                  <c:v>5738.169921875</c:v>
                </c:pt>
                <c:pt idx="182">
                  <c:v>5762.47998046875</c:v>
                </c:pt>
                <c:pt idx="183">
                  <c:v>5708.75</c:v>
                </c:pt>
                <c:pt idx="184">
                  <c:v>5709.5400390625</c:v>
                </c:pt>
                <c:pt idx="185">
                  <c:v>5699.93994140625</c:v>
                </c:pt>
                <c:pt idx="186">
                  <c:v>5751.06982421875</c:v>
                </c:pt>
                <c:pt idx="187">
                  <c:v>5695.93994140625</c:v>
                </c:pt>
                <c:pt idx="188">
                  <c:v>5751.1298828125</c:v>
                </c:pt>
                <c:pt idx="189">
                  <c:v>5792.0400390625</c:v>
                </c:pt>
                <c:pt idx="190">
                  <c:v>5780.0498046875</c:v>
                </c:pt>
                <c:pt idx="191">
                  <c:v>5815.02978515625</c:v>
                </c:pt>
                <c:pt idx="192">
                  <c:v>5859.85009765625</c:v>
                </c:pt>
                <c:pt idx="193">
                  <c:v>5815.259765625</c:v>
                </c:pt>
                <c:pt idx="194">
                  <c:v>5842.47021484375</c:v>
                </c:pt>
                <c:pt idx="195">
                  <c:v>5841.47021484375</c:v>
                </c:pt>
                <c:pt idx="196">
                  <c:v>5864.669921875</c:v>
                </c:pt>
                <c:pt idx="197">
                  <c:v>5853.97998046875</c:v>
                </c:pt>
                <c:pt idx="198">
                  <c:v>5851.2001953125</c:v>
                </c:pt>
                <c:pt idx="199">
                  <c:v>5797.419921875</c:v>
                </c:pt>
                <c:pt idx="200">
                  <c:v>5809.85986328125</c:v>
                </c:pt>
                <c:pt idx="201">
                  <c:v>5808.1201171875</c:v>
                </c:pt>
                <c:pt idx="202">
                  <c:v>5823.52001953125</c:v>
                </c:pt>
                <c:pt idx="203">
                  <c:v>5832.919921875</c:v>
                </c:pt>
                <c:pt idx="204">
                  <c:v>5813.669921875</c:v>
                </c:pt>
                <c:pt idx="205">
                  <c:v>5705.4501953125</c:v>
                </c:pt>
                <c:pt idx="206">
                  <c:v>5728.7998046875</c:v>
                </c:pt>
                <c:pt idx="207">
                  <c:v>5712.68994140625</c:v>
                </c:pt>
                <c:pt idx="208">
                  <c:v>5782.759765625</c:v>
                </c:pt>
                <c:pt idx="209">
                  <c:v>5929.0400390625</c:v>
                </c:pt>
                <c:pt idx="210">
                  <c:v>5973.10009765625</c:v>
                </c:pt>
                <c:pt idx="211">
                  <c:v>5995.5400390625</c:v>
                </c:pt>
                <c:pt idx="212">
                  <c:v>6001.35009765625</c:v>
                </c:pt>
                <c:pt idx="213">
                  <c:v>5983.990234375</c:v>
                </c:pt>
                <c:pt idx="214">
                  <c:v>5985.3798828125</c:v>
                </c:pt>
                <c:pt idx="215">
                  <c:v>5949.169921875</c:v>
                </c:pt>
                <c:pt idx="216">
                  <c:v>5870.6201171875</c:v>
                </c:pt>
                <c:pt idx="217">
                  <c:v>5893.6201171875</c:v>
                </c:pt>
                <c:pt idx="218">
                  <c:v>5916.97998046875</c:v>
                </c:pt>
                <c:pt idx="219">
                  <c:v>5917.10986328125</c:v>
                </c:pt>
                <c:pt idx="220">
                  <c:v>5948.7099609375</c:v>
                </c:pt>
                <c:pt idx="221">
                  <c:v>5969.33984375</c:v>
                </c:pt>
                <c:pt idx="222">
                  <c:v>5987.3701171875</c:v>
                </c:pt>
                <c:pt idx="223">
                  <c:v>6021.6298828125</c:v>
                </c:pt>
                <c:pt idx="224">
                  <c:v>5998.740234375</c:v>
                </c:pt>
                <c:pt idx="225">
                  <c:v>6032.3798828125</c:v>
                </c:pt>
                <c:pt idx="226">
                  <c:v>6047.14990234375</c:v>
                </c:pt>
                <c:pt idx="227">
                  <c:v>6049.8798828125</c:v>
                </c:pt>
                <c:pt idx="228">
                  <c:v>6086.490234375</c:v>
                </c:pt>
                <c:pt idx="229">
                  <c:v>6075.10986328125</c:v>
                </c:pt>
                <c:pt idx="230">
                  <c:v>6090.27001953125</c:v>
                </c:pt>
                <c:pt idx="231">
                  <c:v>6052.85009765625</c:v>
                </c:pt>
                <c:pt idx="232">
                  <c:v>6034.91015625</c:v>
                </c:pt>
                <c:pt idx="233">
                  <c:v>6084.18994140625</c:v>
                </c:pt>
                <c:pt idx="234">
                  <c:v>6051.25</c:v>
                </c:pt>
                <c:pt idx="235">
                  <c:v>6051.08984375</c:v>
                </c:pt>
                <c:pt idx="236">
                  <c:v>6074.080078125</c:v>
                </c:pt>
                <c:pt idx="237">
                  <c:v>6050.60986328125</c:v>
                </c:pt>
                <c:pt idx="238">
                  <c:v>5872.16015625</c:v>
                </c:pt>
                <c:pt idx="239">
                  <c:v>5867.080078125</c:v>
                </c:pt>
                <c:pt idx="240">
                  <c:v>5930.85009765625</c:v>
                </c:pt>
                <c:pt idx="241">
                  <c:v>5974.06982421875</c:v>
                </c:pt>
                <c:pt idx="242">
                  <c:v>6040.0400390625</c:v>
                </c:pt>
                <c:pt idx="243">
                  <c:v>6037.58984375</c:v>
                </c:pt>
                <c:pt idx="244">
                  <c:v>5970.83984375</c:v>
                </c:pt>
                <c:pt idx="245">
                  <c:v>5906.93994140625</c:v>
                </c:pt>
                <c:pt idx="246">
                  <c:v>5881.6298828125</c:v>
                </c:pt>
                <c:pt idx="247">
                  <c:v>5868.5498046875</c:v>
                </c:pt>
                <c:pt idx="248">
                  <c:v>5942.47021484375</c:v>
                </c:pt>
                <c:pt idx="249">
                  <c:v>5975.3798828125</c:v>
                </c:pt>
                <c:pt idx="250">
                  <c:v>5934.06005859375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0D-47D4-8084-6A58EB3E86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0197664"/>
        <c:axId val="920198024"/>
      </c:lineChart>
      <c:dateAx>
        <c:axId val="920197664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198024"/>
        <c:crosses val="autoZero"/>
        <c:auto val="1"/>
        <c:lblOffset val="100"/>
        <c:baseTimeUnit val="days"/>
      </c:dateAx>
      <c:valAx>
        <c:axId val="92019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0197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6</xdr:row>
          <xdr:rowOff>133350</xdr:rowOff>
        </xdr:from>
        <xdr:to>
          <xdr:col>1</xdr:col>
          <xdr:colOff>1152525</xdr:colOff>
          <xdr:row>11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100584" rIns="91440" bIns="100584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Garamond"/>
                </a:rPr>
                <a:t>GET DATA</a:t>
              </a:r>
            </a:p>
            <a:p>
              <a:pPr algn="ctr" rtl="0">
                <a:defRPr sz="1000"/>
              </a:pPr>
              <a:endParaRPr lang="en-US" sz="2800" b="1" i="0" u="none" strike="noStrike" baseline="0">
                <a:solidFill>
                  <a:srgbClr val="000000"/>
                </a:solidFill>
                <a:latin typeface="Garamond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13</xdr:row>
      <xdr:rowOff>14288</xdr:rowOff>
    </xdr:from>
    <xdr:to>
      <xdr:col>8</xdr:col>
      <xdr:colOff>11206</xdr:colOff>
      <xdr:row>27</xdr:row>
      <xdr:rowOff>123266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D39718F-1A40-807E-E48E-FB1C3619B6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28</xdr:row>
      <xdr:rowOff>68356</xdr:rowOff>
    </xdr:from>
    <xdr:to>
      <xdr:col>8</xdr:col>
      <xdr:colOff>33617</xdr:colOff>
      <xdr:row>41</xdr:row>
      <xdr:rowOff>189379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18541E-D579-26FC-8392-79D752F189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178171</xdr:colOff>
      <xdr:row>16</xdr:row>
      <xdr:rowOff>123264</xdr:rowOff>
    </xdr:from>
    <xdr:to>
      <xdr:col>10</xdr:col>
      <xdr:colOff>459440</xdr:colOff>
      <xdr:row>32</xdr:row>
      <xdr:rowOff>145677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332BE75-09E1-B72F-2972-6455F99842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2047875</xdr:colOff>
          <xdr:row>13</xdr:row>
          <xdr:rowOff>171450</xdr:rowOff>
        </xdr:from>
        <xdr:to>
          <xdr:col>5</xdr:col>
          <xdr:colOff>19050</xdr:colOff>
          <xdr:row>16</xdr:row>
          <xdr:rowOff>38100</xdr:rowOff>
        </xdr:to>
        <xdr:sp macro="" textlink="">
          <xdr:nvSpPr>
            <xdr:cNvPr id="2051" name="GET_DATA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291042</xdr:colOff>
          <xdr:row>13</xdr:row>
          <xdr:rowOff>145521</xdr:rowOff>
        </xdr:from>
        <xdr:to>
          <xdr:col>5</xdr:col>
          <xdr:colOff>85989</xdr:colOff>
          <xdr:row>16</xdr:row>
          <xdr:rowOff>46302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15455</xdr:colOff>
      <xdr:row>16</xdr:row>
      <xdr:rowOff>118368</xdr:rowOff>
    </xdr:from>
    <xdr:to>
      <xdr:col>5</xdr:col>
      <xdr:colOff>33359</xdr:colOff>
      <xdr:row>32</xdr:row>
      <xdr:rowOff>156108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1FE7A11-F691-0A1C-7A96-142CD8C25F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12428</xdr:colOff>
      <xdr:row>33</xdr:row>
      <xdr:rowOff>12067</xdr:rowOff>
    </xdr:from>
    <xdr:to>
      <xdr:col>5</xdr:col>
      <xdr:colOff>22412</xdr:colOff>
      <xdr:row>49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C7728E2-3CD3-39D6-4122-7B48A54CF3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173689</xdr:colOff>
      <xdr:row>33</xdr:row>
      <xdr:rowOff>12326</xdr:rowOff>
    </xdr:from>
    <xdr:to>
      <xdr:col>10</xdr:col>
      <xdr:colOff>470646</xdr:colOff>
      <xdr:row>49</xdr:row>
      <xdr:rowOff>11206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58216C1-6997-0AB1-571E-E660054184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removeDataOnSave="1" connectionId="221" xr16:uid="{E3755AE2-950A-4579-A646-C688C74CCF49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removeDataOnSave="1" connectionId="156" xr16:uid="{091D987C-2794-4296-93EA-A3D969635AB2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3" removeDataOnSave="1" connectionId="207" xr16:uid="{60F7BDA0-8DFC-4209-8341-5089D423F6C9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removeDataOnSave="1" connectionId="178" xr16:uid="{476CC3AC-5680-4549-8148-0CC0387D0AF3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1" removeDataOnSave="1" connectionId="185" xr16:uid="{5E702C0B-A028-4CB1-8291-76BE3F1F2148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moveDataOnSave="1" connectionId="222" xr16:uid="{25037FFE-35ED-4EA7-9D4A-CACEFD8A8C8E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moveDataOnSave="1" connectionId="153" xr16:uid="{797CF82B-B781-4FB6-BA03-232159A42704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removeDataOnSave="1" connectionId="158" xr16:uid="{6DE28A14-3D8F-4C54-8D1A-55A051AC21DA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removeDataOnSave="1" connectionId="211" xr16:uid="{8A6A68E7-084A-4A08-A9C1-B0334F0D2E1A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moveDataOnSave="1" connectionId="194" xr16:uid="{84E4BDFD-0377-486B-A672-CA5CEA972C56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removeDataOnSave="1" connectionId="177" xr16:uid="{E1FF01ED-E624-4537-9CDC-FEAAB1FE1595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removeDataOnSave="1" connectionId="200" xr16:uid="{E2FE61DF-DE58-4463-95C4-90D4B085AF49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removeDataOnSave="1" connectionId="217" xr16:uid="{42CE9962-BDE6-481A-A13C-001A5A63D87A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5" removeDataOnSave="1" connectionId="209" xr16:uid="{75B62626-996F-441B-BB4B-F64C9790AA47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removeDataOnSave="1" connectionId="151" xr16:uid="{3A108998-3754-42C1-BBA6-3D23D3E84DA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moveDataOnSave="1" connectionId="161" xr16:uid="{54ABD5DE-AD25-471B-981B-9FB4089C25AE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removeDataOnSave="1" connectionId="149" xr16:uid="{9E66BE96-7A8E-4247-B567-98A2DDCB1A07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removeDataOnSave="1" connectionId="170" xr16:uid="{59506B54-4903-4963-BBE4-790B7277D749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removeDataOnSave="1" connectionId="210" xr16:uid="{9A10F5E0-29FD-44B5-9FCD-09CBF6353B18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removeDataOnSave="1" connectionId="199" xr16:uid="{51AEFF97-D2B9-4553-8F70-80A37C3603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removeDataOnSave="1" connectionId="157" xr16:uid="{816FE1B2-4210-40FD-83E5-CB0828010881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removeDataOnSave="1" connectionId="165" xr16:uid="{2ED0FA81-9B3B-491A-9984-B4879B75082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removeDataOnSave="1" connectionId="190" xr16:uid="{052B5272-5B80-47ED-BBD4-D2315DCE2553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removeDataOnSave="1" connectionId="223" xr16:uid="{C690CA34-71FE-4C2D-BCBC-8E31353A59DD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removeDataOnSave="1" connectionId="174" xr16:uid="{46185DA1-D57F-43C7-92B3-95D850FC4705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removeDataOnSave="1" connectionId="196" xr16:uid="{A14BCB61-4D34-4687-9691-ADE70F62901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removeDataOnSave="1" connectionId="186" xr16:uid="{E541FAC0-F299-45D3-869A-99B9E00A7B51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removeDataOnSave="1" connectionId="220" xr16:uid="{B8F88737-CFED-4207-8270-166C3937CEFC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removeDataOnSave="1" connectionId="213" xr16:uid="{D2B2C24D-32A1-4FD6-881B-7C052C68BCD6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removeDataOnSave="1" connectionId="204" xr16:uid="{52D29E71-E560-486A-AC98-20A2AC46B7FC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removeDataOnSave="1" connectionId="167" xr16:uid="{D5B50944-0BF4-4C14-8C39-65FFB46DD9FF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removeDataOnSave="1" connectionId="168" xr16:uid="{BADC9792-66A0-45A5-BEDB-11643BB33C58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removeDataOnSave="1" connectionId="188" xr16:uid="{4323DBFD-DE01-4C32-B515-7EC4E763098A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moveDataOnSave="1" connectionId="205" xr16:uid="{0A08F18B-4B09-41A8-87B1-9633ED55305D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moveDataOnSave="1" connectionId="150" xr16:uid="{06AB7166-14FC-45D0-A1E8-B2C1852F199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removeDataOnSave="1" connectionId="169" xr16:uid="{297D259F-9721-47E8-807F-073F33B77557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removeDataOnSave="1" connectionId="191" xr16:uid="{C478667B-E41E-4F1B-80EA-63029285CF45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removeDataOnSave="1" connectionId="187" xr16:uid="{BEB9E58F-A688-4EF8-B14F-625977E0E80F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removeDataOnSave="1" connectionId="180" xr16:uid="{F718CA1E-359D-4B47-BCD7-A0DFBAE4D735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removeDataOnSave="1" connectionId="203" xr16:uid="{143994C8-D7D0-4BD2-BB28-5DE5F8C1B013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8" removeDataOnSave="1" connectionId="212" xr16:uid="{00D3FBB9-E0CB-4DF2-8FD2-E933271163FC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removeDataOnSave="1" connectionId="218" xr16:uid="{590C4092-E959-4087-AEA1-C3BB7344CE45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removeDataOnSave="1" connectionId="164" xr16:uid="{5680FECD-EAD1-4496-83D3-E607AF395E66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removeDataOnSave="1" connectionId="175" xr16:uid="{4EE1D82C-8148-406F-ABB3-5D866774386A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removeDataOnSave="1" connectionId="166" xr16:uid="{2AAE0AF5-20E6-46C7-9EB5-C1F1D2A515E7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removeDataOnSave="1" connectionId="192" xr16:uid="{E03D1624-DDEC-4A14-AAF4-569724356A87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removeDataOnSave="1" connectionId="197" xr16:uid="{45DBE6F3-D473-4304-85BE-10D5EE5BBBF9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removeDataOnSave="1" connectionId="201" xr16:uid="{3435CDEC-1DA3-425D-B9C1-5C84C4B23FE1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removeDataOnSave="1" connectionId="159" xr16:uid="{47113529-D0BF-4A80-BE6B-DDFFCEEE4543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removeDataOnSave="1" connectionId="171" xr16:uid="{73C068C1-2DEA-4E07-A79B-884D354C5973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moveDataOnSave="1" connectionId="152" xr16:uid="{2E08B530-508B-420F-96A8-32A60EC7861A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removeDataOnSave="1" connectionId="198" xr16:uid="{22737006-914A-4C89-A0EC-A78AA0DB0556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moveDataOnSave="1" connectionId="216" xr16:uid="{2B0A128B-E490-48A1-8CEC-66116A35D91C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removeDataOnSave="1" connectionId="173" xr16:uid="{33132E8E-B705-4F9F-B571-701E929D1528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removeDataOnSave="1" connectionId="193" xr16:uid="{A0AEDB40-34D9-4069-AC6C-D4C4E308E0E4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removeDataOnSave="1" connectionId="179" xr16:uid="{78BEA33F-DDEF-4D27-BC47-0C4C89329AC5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removeDataOnSave="1" connectionId="182" xr16:uid="{40E2F1F4-F790-4858-AE58-FE58F7CFCFEA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3" removeDataOnSave="1" connectionId="215" xr16:uid="{0B1AEB91-76DF-4F11-B39D-AAB9A8B1A3B8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removeDataOnSave="1" connectionId="155" xr16:uid="{D350C28C-BBDE-44E6-899B-9AFA0F287DC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removeDataOnSave="1" connectionId="206" xr16:uid="{1FAD8F45-AC12-4563-9A6E-239D715993B9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removeDataOnSave="1" connectionId="181" xr16:uid="{841FE596-8281-4722-AEDC-CB9F24BF17BD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moveDataOnSave="1" connectionId="154" xr16:uid="{3C3CA1EC-BB00-4593-A9EB-A390A8A26389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removeDataOnSave="1" connectionId="208" xr16:uid="{FC227458-7D1A-4198-B1CF-4F2658158D78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removeDataOnSave="1" connectionId="202" xr16:uid="{382B5E99-2CC0-4BEC-9482-D3B082B216FF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removeDataOnSave="1" connectionId="195" xr16:uid="{2D5B64B8-6067-4007-BD8A-30F54E757892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removeDataOnSave="1" connectionId="160" xr16:uid="{831575E6-41D8-47F8-A1A0-C3D9B1B10D26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183" xr16:uid="{D76C4BFD-5C59-405D-BD32-DC2A2539355E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connectionId="172" xr16:uid="{3C8DFCFC-2E4D-4633-9113-20A9C45DD06F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removeDataOnSave="1" connectionId="176" xr16:uid="{EE649DFA-3F0F-4878-9094-5DA1C4EC595A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removeDataOnSave="1" connectionId="162" xr16:uid="{E0B048CF-E009-4116-A7A9-5F241C8E3D04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removeDataOnSave="1" connectionId="219" xr16:uid="{2E87DE87-96FA-4C63-BF1D-55227255A6CC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removeDataOnSave="1" connectionId="163" xr16:uid="{91465982-D663-475C-8156-DBFAECF222EB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removeDataOnSave="1" connectionId="184" xr16:uid="{809B47B1-E2D8-43A1-9864-DFF9FC1FB51A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0" removeDataOnSave="1" connectionId="214" xr16:uid="{EC906668-C274-4BC1-8C2D-D6165077E356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removeDataOnSave="1" connectionId="189" xr16:uid="{EFC01DCB-8189-4EE8-916D-8354CFD46C04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54" xr16:uid="{1BB9C110-A715-2B44-8E2C-85389244779D}" autoFormatId="16" applyNumberFormats="0" applyBorderFormats="0" applyFontFormats="0" applyPatternFormats="0" applyAlignmentFormats="0" applyWidthHeightFormats="0">
  <queryTableRefresh nextId="5">
    <queryTableFields count="3">
      <queryTableField id="2" name="Symbol" tableColumnId="2"/>
      <queryTableField id="3" name="Security" tableColumnId="3"/>
      <queryTableField id="4" name="GICS Sector" tableColumnId="4"/>
    </queryTableFields>
    <queryTableDeletedFields count="1">
      <deletedField name="Column1"/>
    </queryTableDeletedFields>
  </queryTableRefresh>
</queryTable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removeDataOnSave="1" connectionId="282" xr16:uid="{447F8E44-65E9-4C7F-B139-7F6A83BA3B91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removeDataOnSave="1" connectionId="265" xr16:uid="{491934D0-F2FE-4196-9063-1A6CD504C9D4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removeDataOnSave="1" connectionId="253" xr16:uid="{90C57A6D-A093-4226-86C2-13558B4DA3D5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removeDataOnSave="1" connectionId="254" xr16:uid="{D44B5BCB-3E44-43B9-A36A-35062C74C6A9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removeDataOnSave="1" connectionId="252" xr16:uid="{D1392212-6547-4534-91C2-F4922A31EFC4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removeDataOnSave="1" connectionId="273" xr16:uid="{0FA58FCC-7D06-4080-B274-26212C6C1965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removeDataOnSave="1" connectionId="277" xr16:uid="{738CBAFF-B6F5-43D4-857C-BC245FCF658B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removeDataOnSave="1" connectionId="234" xr16:uid="{08B03949-D48F-4DE9-AEDE-90B450BD5297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removeDataOnSave="1" connectionId="259" xr16:uid="{D67B1353-7725-48F2-96DB-06AA62B21E1C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removeDataOnSave="1" connectionId="250" xr16:uid="{0B67A61D-A28D-4AA5-8241-D151966D35DA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removeDataOnSave="1" connectionId="241" xr16:uid="{5428B3C7-A4D1-4146-853F-9677A88571F8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removeDataOnSave="1" connectionId="263" xr16:uid="{E9ED2689-A7B9-4A02-862D-5607D6432ECF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removeDataOnSave="1" connectionId="285" xr16:uid="{43B8999F-85F5-462F-880D-DC2737E96A9C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removeDataOnSave="1" connectionId="242" xr16:uid="{40A89CB9-C598-42DD-A05A-A1FDA838B647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removeDataOnSave="1" connectionId="249" xr16:uid="{918BA0F9-2722-499D-906F-157C108FB8B9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removeDataOnSave="1" connectionId="231" xr16:uid="{D636B9AF-640C-41B8-A4A6-5F2F3DE6CFC1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removeDataOnSave="1" connectionId="256" xr16:uid="{4C98DAA9-5540-4462-B152-25AF723F52A2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removeDataOnSave="1" connectionId="257" xr16:uid="{72CBCDA7-5582-49E9-97B0-834FBA363205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removeDataOnSave="1" connectionId="275" xr16:uid="{1C06E2B5-F7B5-4B91-8D7A-A372DF5DF499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removeDataOnSave="1" connectionId="281" xr16:uid="{7A207511-2B76-40BA-9C15-889ADCC28C46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removeDataOnSave="1" connectionId="240" xr16:uid="{26ED6E20-DD15-4189-B85B-D999AB2825C6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removeDataOnSave="1" connectionId="255" xr16:uid="{21DACB64-59A2-4566-8D31-BDF0F49757BC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moveDataOnSave="1" connectionId="225" xr16:uid="{5328A5D3-0A0E-40D1-92AD-8B475572EAFA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removeDataOnSave="1" connectionId="232" xr16:uid="{4D3A870B-0FEA-47EF-833E-12968BF0FA44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removeDataOnSave="1" connectionId="226" xr16:uid="{5E1A9276-6705-4E06-8DF9-91337C48C9F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removeDataOnSave="1" connectionId="244" xr16:uid="{AADE14BD-87EB-4EFD-A12A-6E5B65FD845F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moveDataOnSave="1" connectionId="284" xr16:uid="{29EFB993-DF15-4F8E-8F05-D6ACB7C540FE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removeDataOnSave="1" connectionId="267" xr16:uid="{152E6279-E71E-41A6-8401-AADF99D9F6F5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moveDataOnSave="1" connectionId="283" xr16:uid="{75B300E3-4FC4-40B2-9D17-4068E442ABE8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connectionId="247" xr16:uid="{65750CB0-81BF-4584-A6C1-E83921C6FA39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removeDataOnSave="1" connectionId="278" xr16:uid="{669C96DC-90AA-44DB-A08F-A967B6EF6DEC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removeDataOnSave="1" connectionId="268" xr16:uid="{C66685C7-70C3-4C5F-8B35-9D62398472BC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removeDataOnSave="1" connectionId="272" xr16:uid="{733F4B14-A715-4A43-9D72-21A7FBE5816D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moveDataOnSave="1" connectionId="227" xr16:uid="{5D8C71F5-C306-4146-8EC4-73767E0F960E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removeDataOnSave="1" connectionId="238" xr16:uid="{FF703B8E-940B-41EF-806E-85A93D02049C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removeDataOnSave="1" connectionId="235" xr16:uid="{38F60176-C2F4-4DEC-98A3-5BD8FE77DB2A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moveDataOnSave="1" connectionId="228" xr16:uid="{37301C06-69F7-44B8-9DB3-DD5523C25507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258" xr16:uid="{2A3C698E-3670-4D14-B0B3-AF5316590D44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removeDataOnSave="1" connectionId="264" xr16:uid="{AB67256A-3A8D-4A7A-8451-A7322508A5D9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removeDataOnSave="1" connectionId="266" xr16:uid="{10D048C3-475C-420D-8AC2-A02E3EEC7A38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moveDataOnSave="1" connectionId="280" xr16:uid="{40ED13F4-3933-4E4F-B0CD-4D1BE7A445A4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removeDataOnSave="1" connectionId="245" xr16:uid="{B11D1EC7-4793-4E54-BF49-7EBE9DBADD4B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removeDataOnSave="1" connectionId="243" xr16:uid="{DB30C404-F8E9-4CD2-9844-245F78B7D33C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removeDataOnSave="1" connectionId="276" xr16:uid="{9F738AAA-4C20-4982-A6F9-A91E97242BD1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removeDataOnSave="1" connectionId="271" xr16:uid="{FE51F3D2-294C-4FD0-B58F-DDE7FD4F0EF4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removeDataOnSave="1" connectionId="237" xr16:uid="{42192DA8-B24D-4C05-9117-E4623D39648B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moveDataOnSave="1" connectionId="229" xr16:uid="{B22ABA62-E52E-42F5-B3CE-65302109E082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removeDataOnSave="1" connectionId="251" xr16:uid="{20E5737B-9C72-491A-BB3D-4CEA0C8D8A1D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removeDataOnSave="1" connectionId="230" xr16:uid="{5822E02F-CB77-4460-9604-E2E243BFFD97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removeDataOnSave="1" connectionId="246" xr16:uid="{C7810C8B-AD44-4120-AA2D-4008A6CB92D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removeDataOnSave="1" connectionId="262" xr16:uid="{500C36CA-A189-4C57-BBE1-AE4A5C9E3ADA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removeDataOnSave="1" connectionId="270" xr16:uid="{5B301818-8213-4D00-811B-EE3A0427A1D1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removeDataOnSave="1" connectionId="233" xr16:uid="{A6F59F1E-75AC-4050-9DA1-5D83DE016B2F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removeDataOnSave="1" connectionId="239" xr16:uid="{615A030D-A5E7-4EEB-9191-77F4EF67DB21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removeDataOnSave="1" connectionId="279" xr16:uid="{45E242F8-2794-4C87-9A40-575160187702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removeDataOnSave="1" connectionId="274" xr16:uid="{FFA4202C-A863-4A1E-8ECE-C620B1F22B2E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removeDataOnSave="1" connectionId="260" xr16:uid="{52C8A3DA-3EA0-475D-91F8-5A5DF57E6791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removeDataOnSave="1" connectionId="248" xr16:uid="{83031496-2750-48E4-8EEF-DF50DACB3DDA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removeDataOnSave="1" connectionId="261" xr16:uid="{13C0F7CA-DA4F-431C-B04E-AD04E0DDF419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moveDataOnSave="1" connectionId="269" xr16:uid="{E4046F8F-56BE-4720-AD1B-1287C7C3852D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224" xr16:uid="{70C79697-8E10-451B-94A6-43A98084C9ED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moveDataOnSave="1" connectionId="236" xr16:uid="{2AA69FCA-A844-46B0-9E9A-D36BFBB70E15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4" removeDataOnSave="1" connectionId="339" xr16:uid="{0125CF78-2DDA-4406-B48D-4B6630440DCD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7" removeDataOnSave="1" connectionId="310" xr16:uid="{2543484E-F6B5-4A91-B758-B8F5C4C5FE8C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6" removeDataOnSave="1" connectionId="342" xr16:uid="{2482AE93-B7EA-47F1-95DE-4BBF56A72A5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9" removeDataOnSave="1" connectionId="323" xr16:uid="{D1AB84BC-AC7D-49BC-950F-D9838D9C9C3B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0" removeDataOnSave="1" connectionId="302" xr16:uid="{F55D0DAE-3921-4CF3-8FA2-DCAA068F8553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1" removeDataOnSave="1" connectionId="314" xr16:uid="{3C5E6FCB-FF48-4B8F-9B54-B52ADE363A17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7" removeDataOnSave="1" connectionId="332" xr16:uid="{E661C604-1B34-49E8-AE17-AF68674B462A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5" removeDataOnSave="1" connectionId="307" xr16:uid="{D486F98F-BFF5-487F-9BEE-E29CFD985C09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0" xr16:uid="{8980690D-9710-3D41-8275-889A926D24CE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removeDataOnSave="1" connectionId="139" xr16:uid="{C108FE66-2509-D34E-8C78-7411BBDA5CAB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4" removeDataOnSave="1" connectionId="140" xr16:uid="{BB76054F-81A0-DD46-A310-F260F87EAABE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1" xr16:uid="{033FDFA2-AD03-F543-9A06-66EE8B5EFE7D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7" removeDataOnSave="1" connectionId="288" xr16:uid="{C70D350F-F1AA-BD46-B197-9677267F8AF3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0" removeDataOnSave="1" connectionId="2" xr16:uid="{4EDFE29C-A19B-4046-9018-52AF7DF39B9E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0" removeDataOnSave="1" connectionId="324" xr16:uid="{0F2B29E7-7982-427B-AFD0-0B9B4B00EC38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removeDataOnSave="1" connectionId="135" xr16:uid="{5D966E4D-E81A-564E-98A1-D7D6CB7795A6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2" removeDataOnSave="1" connectionId="304" xr16:uid="{0F0F74CE-B237-4C02-8256-7906BD8F8EED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9" removeDataOnSave="1" connectionId="334" xr16:uid="{8EC6515C-E527-4D50-9738-C8F5CA6F9CC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8" removeDataOnSave="1" connectionId="311" xr16:uid="{2EEAE78F-2EE2-44C8-AA7A-9028C5DB0508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3" removeDataOnSave="1" connectionId="316" xr16:uid="{AE850614-272F-4D30-8E37-95603E14DE1A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3" removeDataOnSave="1" connectionId="305" xr16:uid="{CE201E8F-20BC-473B-A45D-50AC76CD3ACA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41" xr16:uid="{8F30FCE9-65A0-6F40-B2FF-F84F93C00D3D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8" removeDataOnSave="1" connectionId="87" xr16:uid="{3C560A3C-3DDB-6F47-80B1-754F1FDF44A2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4" removeDataOnSave="1" connectionId="306" xr16:uid="{3F4A4BCA-247A-42EA-8DE8-1D0F548BD63D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7" removeDataOnSave="1" connectionId="76" xr16:uid="{3C95639B-7E39-2D4B-BD97-9C1635193ACD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connectionId="136" xr16:uid="{E75BC545-BEDB-0D48-BD9A-3F653D9C04DF}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7" removeDataOnSave="1" connectionId="330" xr16:uid="{15AE15E0-0372-0647-863B-18F2417F2563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8" removeDataOnSave="1" connectionId="333" xr16:uid="{61BEA871-4817-4DD1-853A-86B52C608979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42" xr16:uid="{3D9EC143-9045-324D-95B2-79ABFF1576D7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6" removeDataOnSave="1" connectionId="287" xr16:uid="{9650EA59-1539-FF47-A657-2C10C3EE8AF8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removeDataOnSave="1" connectionId="132" xr16:uid="{E6457923-3C31-4746-8892-6D24D6A92B1E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4" removeDataOnSave="1" connectionId="356" xr16:uid="{52D4A0EC-C199-C74C-A50D-365E2C291797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2" removeDataOnSave="1" connectionId="315" xr16:uid="{1074443B-C309-43B4-933E-6E0E69E4E397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6" removeDataOnSave="1" connectionId="319" xr16:uid="{778D0969-4EB2-FD40-AA8D-F6C2EA492225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2" removeDataOnSave="1" connectionId="294" xr16:uid="{661E6C83-FED5-3E4E-A260-0613FB945C9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8" removeDataOnSave="1" connectionId="300" xr16:uid="{5FCA33DA-E6F9-4CE6-BD83-3A22EDCEA749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4" removeDataOnSave="1" connectionId="296" xr16:uid="{113B9BA2-A046-4F45-BC09-83EB395B68D5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3" removeDataOnSave="1" connectionId="327" xr16:uid="{B0A99CBF-7C9F-4299-ABF3-F4E4974118FD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3" removeDataOnSave="1" connectionId="338" xr16:uid="{6DE09E36-7B53-44CB-B924-33CFA50466A4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5" removeDataOnSave="1" connectionId="308" xr16:uid="{34D0F118-946F-A244-B42F-2891CB6182CA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1" removeDataOnSave="1" connectionId="293" xr16:uid="{7F2D2D25-3F6E-DF42-BDA1-57AA6C1D6E09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removeDataOnSave="1" connectionId="137" xr16:uid="{41D7A16A-6373-FB4D-B265-C374F98AD42A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3" removeDataOnSave="1" connectionId="349" xr16:uid="{26FE3EA2-1CB6-40A3-ACE6-5DEEC47372EE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3" removeDataOnSave="1" connectionId="295" xr16:uid="{465F407B-A83D-CF45-BDD1-35EF1FF4E707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6" removeDataOnSave="1" connectionId="298" xr16:uid="{891BD48B-4A92-49AD-A68E-D001601F98E3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44" xr16:uid="{51CB8D1B-B82F-C647-85CC-D415BF5E50B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2" removeDataOnSave="1" connectionId="348" xr16:uid="{1D3BD343-5F39-429F-A222-AAFC4FEC4844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4" removeDataOnSave="1" connectionId="297" xr16:uid="{65CCFFCB-BD5A-A243-BF5E-A3BE0E27417A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8" removeDataOnSave="1" connectionId="322" xr16:uid="{1B9CA54E-7708-4648-8E41-5FFB4E9C1E82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2" removeDataOnSave="1" connectionId="326" xr16:uid="{C979AB02-1A00-4641-B18C-56D4CD8FDB79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5" removeDataOnSave="1" connectionId="318" xr16:uid="{1BE12363-D437-4476-BE56-47BF843E1A53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4" removeDataOnSave="1" connectionId="350" xr16:uid="{DF661903-FC9D-4D4B-9B29-60C033CF630E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9" removeDataOnSave="1" connectionId="301" xr16:uid="{D68EE80D-9019-49F9-93A7-5EE1245F5AA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2" removeDataOnSave="1" connectionId="148" xr16:uid="{56E0D573-2B20-FA45-A2C7-9A2D5F666AFF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5" removeDataOnSave="1" connectionId="340" xr16:uid="{AEAF10C6-D7DA-42A8-A76A-7C2FC60E2587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7" removeDataOnSave="1" connectionId="299" xr16:uid="{815970C6-C71F-4FED-8034-39FE67FD8704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6" removeDataOnSave="1" connectionId="331" xr16:uid="{8D8ABFF0-5ED0-44A3-AF7A-DB66249E3525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1" removeDataOnSave="1" connectionId="325" xr16:uid="{5C7BD9C2-C04F-43AA-A57E-8BEF29609AD8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8" removeDataOnSave="1" connectionId="344" xr16:uid="{C2EBE306-2160-44E1-82F3-A6B2F273F078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143" xr16:uid="{6B1C018D-139E-B441-BCEB-D78F9F7A18C2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5" removeDataOnSave="1" connectionId="64" xr16:uid="{DE531AE8-89E5-6E44-B8E9-5D48448E3EC2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1" removeDataOnSave="1" connectionId="347" xr16:uid="{78DD0414-47B6-4F8C-9992-2F95961F4EC4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0" removeDataOnSave="1" connectionId="346" xr16:uid="{22E54DBB-0C97-418A-93B5-BD85DC302837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removeDataOnSave="1" connectionId="146" xr16:uid="{DB926460-C86F-F04A-9DDC-939207C8D712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1" removeDataOnSave="1" connectionId="303" xr16:uid="{93258426-2E96-44D0-80F2-DAAF1417FDD3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7" removeDataOnSave="1" connectionId="321" xr16:uid="{CBD30627-9F34-4FB8-BC08-7BBF635AEA59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145" xr16:uid="{9952A45E-7A7F-F746-9036-5E712EC0746A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4" removeDataOnSave="1" connectionId="317" xr16:uid="{F65EB145-7726-4BA7-B4CF-17F63BE9B2FA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5" removeDataOnSave="1" connectionId="329" xr16:uid="{CF002B39-8A2E-4027-927A-06C45155E4F7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removeDataOnSave="1" connectionId="134" xr16:uid="{B952DCAC-252E-E34E-AA82-54C178E3D65E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2" removeDataOnSave="1" connectionId="337" xr16:uid="{CEE887DC-36EF-4CD1-A826-BED83179BDB6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6" removeDataOnSave="1" connectionId="65" xr16:uid="{D501AFF0-36F7-8B47-8CE8-5E602B7613DA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0" removeDataOnSave="1" connectionId="313" xr16:uid="{E6F4ADED-858F-4605-ADEB-BABF715B0698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removeDataOnSave="1" connectionId="352" xr16:uid="{0BA3068C-1A5A-4B41-B514-AD0C804BCDA6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9" removeDataOnSave="1" connectionId="345" xr16:uid="{59EF3237-2B2E-4F13-9403-58BAD653BABD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6" removeDataOnSave="1" connectionId="309" xr16:uid="{2CCC4498-C305-4423-B69B-0DB56751C116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removeDataOnSave="1" connectionId="353" xr16:uid="{76077D9E-060F-7D45-806B-48BEB9A42AB3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9" removeDataOnSave="1" connectionId="312" xr16:uid="{7CF41C02-EC02-4AEF-8C13-1C49EA9B7EA7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4" removeDataOnSave="1" connectionId="328" xr16:uid="{0227868C-1D40-4F22-95C4-75521B068461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1" removeDataOnSave="1" connectionId="13" xr16:uid="{2CCEA1B0-E25B-B64D-BB24-5AD47B16F263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7" removeDataOnSave="1" connectionId="343" xr16:uid="{29D40DEE-B848-447C-B0EC-98EE9F971331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removeDataOnSave="1" connectionId="138" xr16:uid="{72F85128-2101-9546-8A45-EA3B522B5A18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1" removeDataOnSave="1" connectionId="336" xr16:uid="{63C07A29-87D1-4706-84A6-F8AC2D16562D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2" removeDataOnSave="1" connectionId="290" xr16:uid="{52FA0EA2-37BB-774E-9052-57306F70D446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removeDataOnSave="1" connectionId="147" xr16:uid="{65FE1215-868B-3247-BC83-9962C817633F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5" removeDataOnSave="1" connectionId="292" xr16:uid="{75153C76-E642-4FA5-B339-11E5F1FB6B61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6" removeDataOnSave="1" connectionId="320" xr16:uid="{E4C9E9D8-D26F-4607-9AB1-A24447F8F586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8" removeDataOnSave="1" connectionId="341" xr16:uid="{33DD02F2-0727-014C-9E0D-5296156972E8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0" removeDataOnSave="1" connectionId="335" xr16:uid="{1CDDCA5A-1777-4994-A0A6-6A0FFBB41E6F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9" removeDataOnSave="1" connectionId="289" xr16:uid="{6BF876ED-30AA-5943-AE72-DD3285520A15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removeDataOnSave="1" connectionId="133" xr16:uid="{50930885-8647-2645-8112-FD61383C5182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3" removeDataOnSave="1" connectionId="286" xr16:uid="{F0604634-EC1F-814F-8FB5-1923CBBB30CA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9" removeDataOnSave="1" connectionId="291" xr16:uid="{28B69561-55DD-0049-8426-982EB251E514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removeDataOnSave="1" connectionId="351" xr16:uid="{8D8D21A4-80C7-9E42-BB68-D791A2386E79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removeDataOnSave="1" connectionId="103" xr16:uid="{36663F98-1CE2-431F-897B-98EB519B4F1D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2" removeDataOnSave="1" connectionId="126" xr16:uid="{7BD89C2D-1C8C-4DA9-9459-4E79243C0021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removeDataOnSave="1" connectionId="77" xr16:uid="{2AA7575A-5980-4CA5-A36F-DEF27C927861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removeDataOnSave="1" connectionId="81" xr16:uid="{2D1DD859-FD90-4920-BF03-DFCBA291EB06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removeDataOnSave="1" connectionId="119" xr16:uid="{F6A197C3-B633-494C-9BB7-A333FABBFE68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removeDataOnSave="1" connectionId="96" xr16:uid="{5693F099-F2C0-4F27-B1F6-81146F6A4AB9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removeDataOnSave="1" connectionId="118" xr16:uid="{678E53D6-3A9F-498C-B6E8-DA15D64E810F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removeDataOnSave="1" connectionId="88" xr16:uid="{91B4015D-2426-4785-BE7D-924D6ACE2325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removeDataOnSave="1" connectionId="112" xr16:uid="{4987B046-6B0C-49A9-8AA7-EE21A7927F5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removeDataOnSave="1" connectionId="111" xr16:uid="{8C242546-0042-4BE4-81C4-41AFCCAD981D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98" xr16:uid="{ADA7DC2C-58BD-3242-B532-2E122D803093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moveDataOnSave="1" connectionId="73" xr16:uid="{CD1EBDA3-79AC-4B15-9F94-5684356DC944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removeDataOnSave="1" connectionId="104" xr16:uid="{D27C5B68-99F9-4561-ABDE-906381FC9295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removeDataOnSave="1" connectionId="99" xr16:uid="{28540C1D-F3BE-4C5D-A883-8631B3D0E51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moveDataOnSave="1" connectionId="71" xr16:uid="{8BBD0EB7-0705-394B-B126-920450389789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removeDataOnSave="1" connectionId="80" xr16:uid="{5443E20D-4277-4B82-93F6-A5C1478C2747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removeDataOnSave="1" connectionId="79" xr16:uid="{EA925536-52CE-42B7-A1BF-D1F80F4C8D97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removeDataOnSave="1" connectionId="107" xr16:uid="{C7749855-393A-436F-ABDA-9F7CAA3C2B0F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moveDataOnSave="1" connectionId="129" xr16:uid="{131F5A5C-0024-034F-8D18-51C4D3993AEA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removeDataOnSave="1" connectionId="108" xr16:uid="{4DBAB265-0DC2-4331-960F-2AFF28F7C2BC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removeDataOnSave="1" connectionId="85" xr16:uid="{F29A726A-CD83-4274-82EB-6E0A928702E7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removeDataOnSave="1" connectionId="75" xr16:uid="{5F576BA6-5542-48C9-BEBD-77CC1BC2F6C2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removeDataOnSave="1" connectionId="97" xr16:uid="{7B22ADB8-58AF-4D68-85AE-40D9B0C5C1A4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removeDataOnSave="1" connectionId="105" xr16:uid="{70FBAE50-8A73-43CC-931C-F298F087951C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removeDataOnSave="1" connectionId="125" xr16:uid="{064246DE-D75A-4178-A733-EB33CA5F0CED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removeDataOnSave="1" connectionId="83" xr16:uid="{EF866709-9B4C-45A7-B3A5-35D7BA90BC96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moveDataOnSave="1" connectionId="68" xr16:uid="{319ADC20-0AA0-CE47-B8FC-0DB37AB74A95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moveDataOnSave="1" connectionId="109" xr16:uid="{EA3F557B-0B87-4D4A-B8E1-C53D5DBD0098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removeDataOnSave="1" connectionId="110" xr16:uid="{3505F152-3041-437D-B8B7-F2862E4A826B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removeDataOnSave="1" connectionId="94" xr16:uid="{9963414C-1243-4690-9DE7-83C13A1FFFDB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removeDataOnSave="1" connectionId="90" xr16:uid="{A9427697-413D-4ECE-A02A-27B0C18F409C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removeDataOnSave="1" connectionId="84" xr16:uid="{D3CBEC62-2BCB-4C74-88A1-56F74DC1E533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moveDataOnSave="1" connectionId="72" xr16:uid="{2E27488F-75DE-4E1A-9696-AA14BF43C32F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removeDataOnSave="1" connectionId="69" xr16:uid="{8B730714-2355-044F-956A-A9AFECD340B4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removeDataOnSave="1" connectionId="89" xr16:uid="{10CABDCF-3927-4FB7-B287-C538DE206AC8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removeDataOnSave="1" connectionId="91" xr16:uid="{613E9D61-3796-4806-93BB-DC454CDA2579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removeDataOnSave="1" connectionId="78" xr16:uid="{DDB7957A-5397-4E61-8941-96915D009EDA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removeDataOnSave="1" connectionId="82" xr16:uid="{D607FAB4-6760-48C0-BFFE-231D99961C28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removeDataOnSave="1" connectionId="123" xr16:uid="{378AF577-AF5B-4342-819F-53F8EA2775E8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removeDataOnSave="1" connectionId="115" xr16:uid="{D4BF8D82-036E-4CED-9AAD-80FAC8F71125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removeDataOnSave="1" connectionId="92" xr16:uid="{B186065B-F529-470D-8C3D-4DAEAC4B00BC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removeDataOnSave="1" connectionId="74" xr16:uid="{7AD51F62-9F05-4249-B353-D30439479804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moveDataOnSave="1" connectionId="120" xr16:uid="{7AC6BDFE-F6F7-874D-9A74-71524BD51F2A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128" xr16:uid="{E8FF74C1-9315-824A-A51F-33F360DC099F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removeDataOnSave="1" connectionId="117" xr16:uid="{E320171C-AC0D-48F9-826E-1CE639C0A429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removeDataOnSave="1" connectionId="121" xr16:uid="{8743CDA6-C284-4F0C-A19D-4BA78B518666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removeDataOnSave="1" connectionId="114" xr16:uid="{50CAB655-EE4A-4776-B853-DB6FAB2363FE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removeDataOnSave="1" connectionId="101" xr16:uid="{80744495-5F16-4099-B2C5-FA68153B40BB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moveDataOnSave="1" connectionId="67" xr16:uid="{89674C57-8515-6D4F-B4B4-391B706797FF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removeDataOnSave="1" connectionId="116" xr16:uid="{AEADCC00-E266-4DE5-AAA2-4F1EBFE9E21E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removeDataOnSave="1" connectionId="113" xr16:uid="{22A8CF05-DC43-46CE-8D1D-6EBAA66E489A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removeDataOnSave="1" connectionId="124" xr16:uid="{4E115984-11EE-4B6A-8BFE-253C91E02E01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removeDataOnSave="1" connectionId="93" xr16:uid="{2D61E824-5C09-434F-8003-7EB18303FABC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moveDataOnSave="1" connectionId="66" xr16:uid="{60E55CCC-1ABA-D840-9787-5827176F6C98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removeDataOnSave="1" connectionId="86" xr16:uid="{6CE20685-FFFE-45C6-9D0A-7578D6B4561A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removeDataOnSave="1" connectionId="102" xr16:uid="{4B717682-14EC-4EFD-A42D-BC42CF9BE371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removeDataOnSave="1" connectionId="95" xr16:uid="{B42E177E-ADA0-4C98-B0D6-32318B7AC35A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removeDataOnSave="1" connectionId="106" xr16:uid="{209AF20C-684B-44D1-938F-ED238F8CA6EF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removeDataOnSave="1" connectionId="100" xr16:uid="{37DC12BD-DEEB-4E7A-A55B-784458B0A005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removeDataOnSave="1" connectionId="122" xr16:uid="{0328E703-7DA2-4E60-AB1C-5A4F14A6DDEB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connectionId="127" xr16:uid="{E67F82C8-8D0F-B348-9118-B3A0C1528413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removeDataOnSave="1" connectionId="70" xr16:uid="{520B75B9-4800-9A47-B44A-32645BBB442C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5" removeDataOnSave="1" connectionId="20" xr16:uid="{BF684027-7622-4C9A-B0BE-9F2CB3E6EBE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7" removeDataOnSave="1" connectionId="33" xr16:uid="{6A876341-570E-498B-B5C3-898BA3B47E4D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moveDataOnSave="1" connectionId="46" xr16:uid="{0BC4F62D-D1D6-DF4C-B579-420E9F7EEF81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0" removeDataOnSave="1" connectionId="48" xr16:uid="{F710E4FA-9182-4595-A206-8F2A4E13C67E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2" removeDataOnSave="1" connectionId="50" xr16:uid="{A59A5819-F4DC-427D-9632-50E8D92B825A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3" removeDataOnSave="1" connectionId="40" xr16:uid="{2FBE45F7-B54D-4A58-B910-1BCC5BDD1E6E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removeDataOnSave="1" connectionId="4" xr16:uid="{01DC2AB0-7E11-DB4F-B1B6-5887A43FCD2B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24" xr16:uid="{E73F084D-0921-4548-95A3-DAB804F049C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removeDataOnSave="1" connectionId="11" xr16:uid="{AC49AD6E-7B5E-45C8-8A63-C7376D2C1062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5" removeDataOnSave="1" connectionId="42" xr16:uid="{1DD7A21E-D3D8-43C9-94A4-93510CF78594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4" removeDataOnSave="1" connectionId="52" xr16:uid="{BD9F9898-C6BD-4EBC-BAA8-A75E7339705E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removeDataOnSave="1" connectionId="14" xr16:uid="{7822B0CC-135E-4C6F-AC2C-A81A9FBE818E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9" removeDataOnSave="1" connectionId="25" xr16:uid="{C8F7B72C-FF90-4040-AE40-A0165323815A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3" removeDataOnSave="1" connectionId="18" xr16:uid="{1E1563FC-4F0B-4DF7-84D8-6B1ADFA57F8D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1" removeDataOnSave="1" connectionId="49" xr16:uid="{BCF0BE53-716A-45DE-8C18-742DBCA77EE2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4" removeDataOnSave="1" connectionId="19" xr16:uid="{A94D7210-814F-4991-9AC5-2B8128272725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6" removeDataOnSave="1" connectionId="21" xr16:uid="{C444F775-DB93-4CA9-8406-9C32240D3D07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8" removeDataOnSave="1" connectionId="56" xr16:uid="{9FCD07B4-2454-4F96-9D00-0BBAF9B935B2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3" removeDataOnSave="1" connectionId="29" xr16:uid="{6F2E7FEE-34C7-4FFE-909A-B0B7CA850857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4" removeDataOnSave="1" connectionId="30" xr16:uid="{380005AB-4FDA-4B33-96B9-9DD7074AEEFF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6" removeDataOnSave="1" connectionId="43" xr16:uid="{E8D2394B-77B5-4F23-84EE-A7AF0CA76215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moveDataOnSave="1" connectionId="8" xr16:uid="{A2944456-3AD7-43AE-B3E0-8A4F7B3FA4BE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2" removeDataOnSave="1" connectionId="17" xr16:uid="{E47B4173-8B25-418B-9215-F435E6E28844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57" xr16:uid="{D19F1C19-B200-834E-B00D-0565FF54F46D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0" removeDataOnSave="1" connectionId="59" xr16:uid="{871CBA8A-2A20-430E-93D8-419B9C76C049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moveDataOnSave="1" connectionId="62" xr16:uid="{391BC65A-C44D-304C-B419-762A6870675A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removeDataOnSave="1" connectionId="16" xr16:uid="{926E912A-2581-4954-B228-5D0345CCC5C1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8" removeDataOnSave="1" connectionId="45" xr16:uid="{9E881E6E-4BF3-4ABC-8304-84A40CC6229F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5" removeDataOnSave="1" connectionId="53" xr16:uid="{CE3D3153-029D-4CEA-884D-51F36B968B75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9" removeDataOnSave="1" connectionId="36" xr16:uid="{AF73E9A3-5C50-4129-AC4A-F734FE9F232C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8" removeDataOnSave="1" connectionId="23" xr16:uid="{EF98ADA3-2D15-4AF3-9322-FE9B0DCFD84A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2" removeDataOnSave="1" connectionId="28" xr16:uid="{1C725923-89F3-4EE1-86BA-32E97803B1B3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moveDataOnSave="1" connectionId="63" xr16:uid="{E2652935-17B4-F846-9D91-8696DA4B2691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9" removeDataOnSave="1" connectionId="47" xr16:uid="{CEDE970C-77B4-423C-A780-2EA47BF3DFE1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moveDataOnSave="1" connectionId="3" xr16:uid="{7228DF89-AC93-B94C-BA3B-47BD2259B151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6" removeDataOnSave="1" connectionId="54" xr16:uid="{EB69EC15-D91B-42E0-B27F-B0B1C3950292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0" removeDataOnSave="1" connectionId="37" xr16:uid="{8C003946-A8C4-42AA-BCD0-0154BDE90892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removeDataOnSave="1" connectionId="12" xr16:uid="{555DCED5-3C74-4CFE-AFC1-E27C8685E532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connectionId="1" xr16:uid="{96D24E5D-7ABF-A342-9ECB-EA4077D4BEB3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moveDataOnSave="1" connectionId="7" xr16:uid="{E0923C53-C225-4ADB-9AF2-AFCEEA933A6C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removeDataOnSave="1" connectionId="5" xr16:uid="{DFEABF61-0B08-3A44-BD94-EE28D170B22A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2" removeDataOnSave="1" connectionId="39" xr16:uid="{D49E0FCF-4487-473B-B9EC-3E5EF80350D3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7" removeDataOnSave="1" connectionId="44" xr16:uid="{41685BF2-71C4-4920-AEDA-FDA647A1F2AD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moveDataOnSave="1" connectionId="61" xr16:uid="{8CAD2B2B-553E-3A4A-B9A4-8B3407FA071E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removeDataOnSave="1" connectionId="15" xr16:uid="{457DD013-C094-4184-A817-D35D28A7F6D7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7" removeDataOnSave="1" connectionId="22" xr16:uid="{3D61C7B8-7E6C-4323-912A-57FDA4B1A2CE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moveDataOnSave="1" connectionId="6" xr16:uid="{15854BE5-3F04-4076-BC46-4AD9AC8090BC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0" removeDataOnSave="1" connectionId="26" xr16:uid="{A82AAD27-B48A-4F9B-8143-C155070A8BE9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1" removeDataOnSave="1" connectionId="38" xr16:uid="{BA1D86C7-618F-4445-9EB1-F7B6AD364FCF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1" removeDataOnSave="1" connectionId="27" xr16:uid="{CCC8CDF3-4B3C-435D-BDB4-C509901A9A9C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removeDataOnSave="1" connectionId="10" xr16:uid="{03EFE0F8-C35E-4D11-83CB-391248868584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removeDataOnSave="1" connectionId="9" xr16:uid="{AC6D6878-B2B2-41AA-9D3C-5FCFCA696F48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moveDataOnSave="1" connectionId="35" xr16:uid="{9FCBB287-078A-CB43-BF22-A58D42082A9B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3" removeDataOnSave="1" connectionId="51" xr16:uid="{6749057C-13BC-4653-88EB-E31829DCDBDB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6" removeDataOnSave="1" connectionId="32" xr16:uid="{69F5D46C-15D9-4A22-B27C-B50F9C0752B7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4" removeDataOnSave="1" connectionId="41" xr16:uid="{52E5EE5C-C310-4635-BFCE-24B62B839455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1" removeDataOnSave="1" connectionId="60" xr16:uid="{3988F06B-95E4-4A58-920A-7F2A7A4A4FE4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7" removeDataOnSave="1" connectionId="55" xr16:uid="{7003D489-6DC8-42BA-A233-1C96E40F6EE3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9" removeDataOnSave="1" connectionId="58" xr16:uid="{6CFB2CA0-8D71-445B-9D38-EAF2C1ACFB4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8" removeDataOnSave="1" connectionId="34" xr16:uid="{74A402FF-4F54-4ED0-8A16-0FD3794BE981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5" removeDataOnSave="1" connectionId="31" xr16:uid="{3CAE6CE9-8D0C-4BE5-956A-18B148402E89}" autoFormatId="16" applyNumberFormats="0" applyBorderFormats="0" applyFontFormats="1" applyPatternFormats="1" applyAlignmentFormats="0" applyWidthHeightFormats="0"/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E362D7-94A8-0E49-B277-5D578E15DB18}" name="sp500_" displayName="sp500_" ref="A1:C504" tableType="queryTable" totalsRowShown="0">
  <autoFilter ref="A1:C504" xr:uid="{95E362D7-94A8-0E49-B277-5D578E15DB18}"/>
  <tableColumns count="3">
    <tableColumn id="2" xr3:uid="{07FA5FBA-8596-F54B-B16E-34B6BB0507AE}" uniqueName="2" name="Symbol" queryTableFieldId="2" dataDxfId="2"/>
    <tableColumn id="3" xr3:uid="{D8B93CD1-F6EE-624B-B5A3-99E9D72506C2}" uniqueName="3" name="Security" queryTableFieldId="3" dataDxfId="1"/>
    <tableColumn id="4" xr3:uid="{88988E83-6097-7847-BCCC-9BD80A9429CD}" uniqueName="4" name="GICS Sector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6.xml"/><Relationship Id="rId21" Type="http://schemas.openxmlformats.org/officeDocument/2006/relationships/queryTable" Target="../queryTables/queryTable21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63" Type="http://schemas.openxmlformats.org/officeDocument/2006/relationships/queryTable" Target="../queryTables/queryTable63.xml"/><Relationship Id="rId68" Type="http://schemas.openxmlformats.org/officeDocument/2006/relationships/queryTable" Target="../queryTables/queryTable68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9" Type="http://schemas.openxmlformats.org/officeDocument/2006/relationships/queryTable" Target="../queryTables/queryTable29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8" Type="http://schemas.openxmlformats.org/officeDocument/2006/relationships/queryTable" Target="../queryTables/queryTable58.xml"/><Relationship Id="rId66" Type="http://schemas.openxmlformats.org/officeDocument/2006/relationships/queryTable" Target="../queryTables/queryTable66.xml"/><Relationship Id="rId74" Type="http://schemas.openxmlformats.org/officeDocument/2006/relationships/queryTable" Target="../queryTables/queryTable74.xml"/><Relationship Id="rId5" Type="http://schemas.openxmlformats.org/officeDocument/2006/relationships/queryTable" Target="../queryTables/queryTable5.xml"/><Relationship Id="rId61" Type="http://schemas.openxmlformats.org/officeDocument/2006/relationships/queryTable" Target="../queryTables/queryTable61.xml"/><Relationship Id="rId19" Type="http://schemas.openxmlformats.org/officeDocument/2006/relationships/queryTable" Target="../queryTables/queryTable1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56" Type="http://schemas.openxmlformats.org/officeDocument/2006/relationships/queryTable" Target="../queryTables/queryTable56.xml"/><Relationship Id="rId64" Type="http://schemas.openxmlformats.org/officeDocument/2006/relationships/queryTable" Target="../queryTables/queryTable64.xml"/><Relationship Id="rId69" Type="http://schemas.openxmlformats.org/officeDocument/2006/relationships/queryTable" Target="../queryTables/queryTable69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Relationship Id="rId72" Type="http://schemas.openxmlformats.org/officeDocument/2006/relationships/queryTable" Target="../queryTables/queryTable72.xml"/><Relationship Id="rId3" Type="http://schemas.openxmlformats.org/officeDocument/2006/relationships/queryTable" Target="../queryTables/queryTable3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59" Type="http://schemas.openxmlformats.org/officeDocument/2006/relationships/queryTable" Target="../queryTables/queryTable59.xml"/><Relationship Id="rId67" Type="http://schemas.openxmlformats.org/officeDocument/2006/relationships/queryTable" Target="../queryTables/queryTable67.xml"/><Relationship Id="rId20" Type="http://schemas.openxmlformats.org/officeDocument/2006/relationships/queryTable" Target="../queryTables/queryTable20.xml"/><Relationship Id="rId41" Type="http://schemas.openxmlformats.org/officeDocument/2006/relationships/queryTable" Target="../queryTables/queryTable41.xml"/><Relationship Id="rId54" Type="http://schemas.openxmlformats.org/officeDocument/2006/relationships/queryTable" Target="../queryTables/queryTable54.xml"/><Relationship Id="rId62" Type="http://schemas.openxmlformats.org/officeDocument/2006/relationships/queryTable" Target="../queryTables/queryTable62.xml"/><Relationship Id="rId70" Type="http://schemas.openxmlformats.org/officeDocument/2006/relationships/queryTable" Target="../queryTables/queryTable70.xml"/><Relationship Id="rId75" Type="http://schemas.openxmlformats.org/officeDocument/2006/relationships/queryTable" Target="../queryTables/queryTable75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57" Type="http://schemas.openxmlformats.org/officeDocument/2006/relationships/queryTable" Target="../queryTables/queryTable57.xml"/><Relationship Id="rId10" Type="http://schemas.openxmlformats.org/officeDocument/2006/relationships/queryTable" Target="../queryTables/queryTable10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60" Type="http://schemas.openxmlformats.org/officeDocument/2006/relationships/queryTable" Target="../queryTables/queryTable60.xml"/><Relationship Id="rId65" Type="http://schemas.openxmlformats.org/officeDocument/2006/relationships/queryTable" Target="../queryTables/queryTable65.xml"/><Relationship Id="rId73" Type="http://schemas.openxmlformats.org/officeDocument/2006/relationships/queryTable" Target="../queryTables/queryTable73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39" Type="http://schemas.openxmlformats.org/officeDocument/2006/relationships/queryTable" Target="../queryTables/queryTable39.xml"/><Relationship Id="rId34" Type="http://schemas.openxmlformats.org/officeDocument/2006/relationships/queryTable" Target="../queryTables/queryTable34.xml"/><Relationship Id="rId50" Type="http://schemas.openxmlformats.org/officeDocument/2006/relationships/queryTable" Target="../queryTables/queryTable50.xml"/><Relationship Id="rId55" Type="http://schemas.openxmlformats.org/officeDocument/2006/relationships/queryTable" Target="../queryTables/queryTable55.xml"/><Relationship Id="rId7" Type="http://schemas.openxmlformats.org/officeDocument/2006/relationships/queryTable" Target="../queryTables/queryTable7.xml"/><Relationship Id="rId71" Type="http://schemas.openxmlformats.org/officeDocument/2006/relationships/queryTable" Target="../queryTables/queryTable7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89.xml"/><Relationship Id="rId18" Type="http://schemas.openxmlformats.org/officeDocument/2006/relationships/queryTable" Target="../queryTables/queryTable94.xml"/><Relationship Id="rId26" Type="http://schemas.openxmlformats.org/officeDocument/2006/relationships/queryTable" Target="../queryTables/queryTable102.xml"/><Relationship Id="rId39" Type="http://schemas.openxmlformats.org/officeDocument/2006/relationships/queryTable" Target="../queryTables/queryTable115.xml"/><Relationship Id="rId21" Type="http://schemas.openxmlformats.org/officeDocument/2006/relationships/queryTable" Target="../queryTables/queryTable97.xml"/><Relationship Id="rId34" Type="http://schemas.openxmlformats.org/officeDocument/2006/relationships/queryTable" Target="../queryTables/queryTable110.xml"/><Relationship Id="rId42" Type="http://schemas.openxmlformats.org/officeDocument/2006/relationships/queryTable" Target="../queryTables/queryTable118.xml"/><Relationship Id="rId47" Type="http://schemas.openxmlformats.org/officeDocument/2006/relationships/queryTable" Target="../queryTables/queryTable123.xml"/><Relationship Id="rId50" Type="http://schemas.openxmlformats.org/officeDocument/2006/relationships/queryTable" Target="../queryTables/queryTable126.xml"/><Relationship Id="rId55" Type="http://schemas.openxmlformats.org/officeDocument/2006/relationships/queryTable" Target="../queryTables/queryTable131.xml"/><Relationship Id="rId7" Type="http://schemas.openxmlformats.org/officeDocument/2006/relationships/queryTable" Target="../queryTables/queryTable83.xml"/><Relationship Id="rId2" Type="http://schemas.openxmlformats.org/officeDocument/2006/relationships/queryTable" Target="../queryTables/queryTable78.xml"/><Relationship Id="rId16" Type="http://schemas.openxmlformats.org/officeDocument/2006/relationships/queryTable" Target="../queryTables/queryTable92.xml"/><Relationship Id="rId29" Type="http://schemas.openxmlformats.org/officeDocument/2006/relationships/queryTable" Target="../queryTables/queryTable105.xml"/><Relationship Id="rId11" Type="http://schemas.openxmlformats.org/officeDocument/2006/relationships/queryTable" Target="../queryTables/queryTable87.xml"/><Relationship Id="rId24" Type="http://schemas.openxmlformats.org/officeDocument/2006/relationships/queryTable" Target="../queryTables/queryTable100.xml"/><Relationship Id="rId32" Type="http://schemas.openxmlformats.org/officeDocument/2006/relationships/queryTable" Target="../queryTables/queryTable108.xml"/><Relationship Id="rId37" Type="http://schemas.openxmlformats.org/officeDocument/2006/relationships/queryTable" Target="../queryTables/queryTable113.xml"/><Relationship Id="rId40" Type="http://schemas.openxmlformats.org/officeDocument/2006/relationships/queryTable" Target="../queryTables/queryTable116.xml"/><Relationship Id="rId45" Type="http://schemas.openxmlformats.org/officeDocument/2006/relationships/queryTable" Target="../queryTables/queryTable121.xml"/><Relationship Id="rId53" Type="http://schemas.openxmlformats.org/officeDocument/2006/relationships/queryTable" Target="../queryTables/queryTable129.xml"/><Relationship Id="rId58" Type="http://schemas.openxmlformats.org/officeDocument/2006/relationships/queryTable" Target="../queryTables/queryTable134.xml"/><Relationship Id="rId5" Type="http://schemas.openxmlformats.org/officeDocument/2006/relationships/queryTable" Target="../queryTables/queryTable81.xml"/><Relationship Id="rId61" Type="http://schemas.openxmlformats.org/officeDocument/2006/relationships/queryTable" Target="../queryTables/queryTable137.xml"/><Relationship Id="rId19" Type="http://schemas.openxmlformats.org/officeDocument/2006/relationships/queryTable" Target="../queryTables/queryTable95.xml"/><Relationship Id="rId14" Type="http://schemas.openxmlformats.org/officeDocument/2006/relationships/queryTable" Target="../queryTables/queryTable90.xml"/><Relationship Id="rId22" Type="http://schemas.openxmlformats.org/officeDocument/2006/relationships/queryTable" Target="../queryTables/queryTable98.xml"/><Relationship Id="rId27" Type="http://schemas.openxmlformats.org/officeDocument/2006/relationships/queryTable" Target="../queryTables/queryTable103.xml"/><Relationship Id="rId30" Type="http://schemas.openxmlformats.org/officeDocument/2006/relationships/queryTable" Target="../queryTables/queryTable106.xml"/><Relationship Id="rId35" Type="http://schemas.openxmlformats.org/officeDocument/2006/relationships/queryTable" Target="../queryTables/queryTable111.xml"/><Relationship Id="rId43" Type="http://schemas.openxmlformats.org/officeDocument/2006/relationships/queryTable" Target="../queryTables/queryTable119.xml"/><Relationship Id="rId48" Type="http://schemas.openxmlformats.org/officeDocument/2006/relationships/queryTable" Target="../queryTables/queryTable124.xml"/><Relationship Id="rId56" Type="http://schemas.openxmlformats.org/officeDocument/2006/relationships/queryTable" Target="../queryTables/queryTable132.xml"/><Relationship Id="rId8" Type="http://schemas.openxmlformats.org/officeDocument/2006/relationships/queryTable" Target="../queryTables/queryTable84.xml"/><Relationship Id="rId51" Type="http://schemas.openxmlformats.org/officeDocument/2006/relationships/queryTable" Target="../queryTables/queryTable127.xml"/><Relationship Id="rId3" Type="http://schemas.openxmlformats.org/officeDocument/2006/relationships/queryTable" Target="../queryTables/queryTable79.xml"/><Relationship Id="rId12" Type="http://schemas.openxmlformats.org/officeDocument/2006/relationships/queryTable" Target="../queryTables/queryTable88.xml"/><Relationship Id="rId17" Type="http://schemas.openxmlformats.org/officeDocument/2006/relationships/queryTable" Target="../queryTables/queryTable93.xml"/><Relationship Id="rId25" Type="http://schemas.openxmlformats.org/officeDocument/2006/relationships/queryTable" Target="../queryTables/queryTable101.xml"/><Relationship Id="rId33" Type="http://schemas.openxmlformats.org/officeDocument/2006/relationships/queryTable" Target="../queryTables/queryTable109.xml"/><Relationship Id="rId38" Type="http://schemas.openxmlformats.org/officeDocument/2006/relationships/queryTable" Target="../queryTables/queryTable114.xml"/><Relationship Id="rId46" Type="http://schemas.openxmlformats.org/officeDocument/2006/relationships/queryTable" Target="../queryTables/queryTable122.xml"/><Relationship Id="rId59" Type="http://schemas.openxmlformats.org/officeDocument/2006/relationships/queryTable" Target="../queryTables/queryTable135.xml"/><Relationship Id="rId20" Type="http://schemas.openxmlformats.org/officeDocument/2006/relationships/queryTable" Target="../queryTables/queryTable96.xml"/><Relationship Id="rId41" Type="http://schemas.openxmlformats.org/officeDocument/2006/relationships/queryTable" Target="../queryTables/queryTable117.xml"/><Relationship Id="rId54" Type="http://schemas.openxmlformats.org/officeDocument/2006/relationships/queryTable" Target="../queryTables/queryTable130.xml"/><Relationship Id="rId62" Type="http://schemas.openxmlformats.org/officeDocument/2006/relationships/queryTable" Target="../queryTables/queryTable138.xml"/><Relationship Id="rId1" Type="http://schemas.openxmlformats.org/officeDocument/2006/relationships/queryTable" Target="../queryTables/queryTable77.xml"/><Relationship Id="rId6" Type="http://schemas.openxmlformats.org/officeDocument/2006/relationships/queryTable" Target="../queryTables/queryTable82.xml"/><Relationship Id="rId15" Type="http://schemas.openxmlformats.org/officeDocument/2006/relationships/queryTable" Target="../queryTables/queryTable91.xml"/><Relationship Id="rId23" Type="http://schemas.openxmlformats.org/officeDocument/2006/relationships/queryTable" Target="../queryTables/queryTable99.xml"/><Relationship Id="rId28" Type="http://schemas.openxmlformats.org/officeDocument/2006/relationships/queryTable" Target="../queryTables/queryTable104.xml"/><Relationship Id="rId36" Type="http://schemas.openxmlformats.org/officeDocument/2006/relationships/queryTable" Target="../queryTables/queryTable112.xml"/><Relationship Id="rId49" Type="http://schemas.openxmlformats.org/officeDocument/2006/relationships/queryTable" Target="../queryTables/queryTable125.xml"/><Relationship Id="rId57" Type="http://schemas.openxmlformats.org/officeDocument/2006/relationships/queryTable" Target="../queryTables/queryTable133.xml"/><Relationship Id="rId10" Type="http://schemas.openxmlformats.org/officeDocument/2006/relationships/queryTable" Target="../queryTables/queryTable86.xml"/><Relationship Id="rId31" Type="http://schemas.openxmlformats.org/officeDocument/2006/relationships/queryTable" Target="../queryTables/queryTable107.xml"/><Relationship Id="rId44" Type="http://schemas.openxmlformats.org/officeDocument/2006/relationships/queryTable" Target="../queryTables/queryTable120.xml"/><Relationship Id="rId52" Type="http://schemas.openxmlformats.org/officeDocument/2006/relationships/queryTable" Target="../queryTables/queryTable128.xml"/><Relationship Id="rId60" Type="http://schemas.openxmlformats.org/officeDocument/2006/relationships/queryTable" Target="../queryTables/queryTable136.xml"/><Relationship Id="rId4" Type="http://schemas.openxmlformats.org/officeDocument/2006/relationships/queryTable" Target="../queryTables/queryTable80.xml"/><Relationship Id="rId9" Type="http://schemas.openxmlformats.org/officeDocument/2006/relationships/queryTable" Target="../queryTables/queryTable85.xml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64.xml"/><Relationship Id="rId21" Type="http://schemas.openxmlformats.org/officeDocument/2006/relationships/queryTable" Target="../queryTables/queryTable159.xml"/><Relationship Id="rId42" Type="http://schemas.openxmlformats.org/officeDocument/2006/relationships/queryTable" Target="../queryTables/queryTable180.xml"/><Relationship Id="rId47" Type="http://schemas.openxmlformats.org/officeDocument/2006/relationships/queryTable" Target="../queryTables/queryTable185.xml"/><Relationship Id="rId63" Type="http://schemas.openxmlformats.org/officeDocument/2006/relationships/queryTable" Target="../queryTables/queryTable201.xml"/><Relationship Id="rId68" Type="http://schemas.openxmlformats.org/officeDocument/2006/relationships/queryTable" Target="../queryTables/queryTable206.xml"/><Relationship Id="rId84" Type="http://schemas.openxmlformats.org/officeDocument/2006/relationships/queryTable" Target="../queryTables/queryTable222.xml"/><Relationship Id="rId89" Type="http://schemas.openxmlformats.org/officeDocument/2006/relationships/queryTable" Target="../queryTables/queryTable227.xml"/><Relationship Id="rId16" Type="http://schemas.openxmlformats.org/officeDocument/2006/relationships/queryTable" Target="../queryTables/queryTable154.xml"/><Relationship Id="rId11" Type="http://schemas.openxmlformats.org/officeDocument/2006/relationships/queryTable" Target="../queryTables/queryTable149.xml"/><Relationship Id="rId32" Type="http://schemas.openxmlformats.org/officeDocument/2006/relationships/queryTable" Target="../queryTables/queryTable170.xml"/><Relationship Id="rId37" Type="http://schemas.openxmlformats.org/officeDocument/2006/relationships/queryTable" Target="../queryTables/queryTable175.xml"/><Relationship Id="rId53" Type="http://schemas.openxmlformats.org/officeDocument/2006/relationships/queryTable" Target="../queryTables/queryTable191.xml"/><Relationship Id="rId58" Type="http://schemas.openxmlformats.org/officeDocument/2006/relationships/queryTable" Target="../queryTables/queryTable196.xml"/><Relationship Id="rId74" Type="http://schemas.openxmlformats.org/officeDocument/2006/relationships/queryTable" Target="../queryTables/queryTable212.xml"/><Relationship Id="rId79" Type="http://schemas.openxmlformats.org/officeDocument/2006/relationships/queryTable" Target="../queryTables/queryTable217.xml"/><Relationship Id="rId5" Type="http://schemas.openxmlformats.org/officeDocument/2006/relationships/queryTable" Target="../queryTables/queryTable143.xml"/><Relationship Id="rId90" Type="http://schemas.openxmlformats.org/officeDocument/2006/relationships/queryTable" Target="../queryTables/queryTable228.xml"/><Relationship Id="rId22" Type="http://schemas.openxmlformats.org/officeDocument/2006/relationships/queryTable" Target="../queryTables/queryTable160.xml"/><Relationship Id="rId27" Type="http://schemas.openxmlformats.org/officeDocument/2006/relationships/queryTable" Target="../queryTables/queryTable165.xml"/><Relationship Id="rId43" Type="http://schemas.openxmlformats.org/officeDocument/2006/relationships/queryTable" Target="../queryTables/queryTable181.xml"/><Relationship Id="rId48" Type="http://schemas.openxmlformats.org/officeDocument/2006/relationships/queryTable" Target="../queryTables/queryTable186.xml"/><Relationship Id="rId64" Type="http://schemas.openxmlformats.org/officeDocument/2006/relationships/queryTable" Target="../queryTables/queryTable202.xml"/><Relationship Id="rId69" Type="http://schemas.openxmlformats.org/officeDocument/2006/relationships/queryTable" Target="../queryTables/queryTable207.xml"/><Relationship Id="rId8" Type="http://schemas.openxmlformats.org/officeDocument/2006/relationships/queryTable" Target="../queryTables/queryTable146.xml"/><Relationship Id="rId51" Type="http://schemas.openxmlformats.org/officeDocument/2006/relationships/queryTable" Target="../queryTables/queryTable189.xml"/><Relationship Id="rId72" Type="http://schemas.openxmlformats.org/officeDocument/2006/relationships/queryTable" Target="../queryTables/queryTable210.xml"/><Relationship Id="rId80" Type="http://schemas.openxmlformats.org/officeDocument/2006/relationships/queryTable" Target="../queryTables/queryTable218.xml"/><Relationship Id="rId85" Type="http://schemas.openxmlformats.org/officeDocument/2006/relationships/queryTable" Target="../queryTables/queryTable223.xml"/><Relationship Id="rId93" Type="http://schemas.openxmlformats.org/officeDocument/2006/relationships/queryTable" Target="../queryTables/queryTable231.xml"/><Relationship Id="rId3" Type="http://schemas.openxmlformats.org/officeDocument/2006/relationships/queryTable" Target="../queryTables/queryTable141.xml"/><Relationship Id="rId12" Type="http://schemas.openxmlformats.org/officeDocument/2006/relationships/queryTable" Target="../queryTables/queryTable150.xml"/><Relationship Id="rId17" Type="http://schemas.openxmlformats.org/officeDocument/2006/relationships/queryTable" Target="../queryTables/queryTable155.xml"/><Relationship Id="rId25" Type="http://schemas.openxmlformats.org/officeDocument/2006/relationships/queryTable" Target="../queryTables/queryTable163.xml"/><Relationship Id="rId33" Type="http://schemas.openxmlformats.org/officeDocument/2006/relationships/queryTable" Target="../queryTables/queryTable171.xml"/><Relationship Id="rId38" Type="http://schemas.openxmlformats.org/officeDocument/2006/relationships/queryTable" Target="../queryTables/queryTable176.xml"/><Relationship Id="rId46" Type="http://schemas.openxmlformats.org/officeDocument/2006/relationships/queryTable" Target="../queryTables/queryTable184.xml"/><Relationship Id="rId59" Type="http://schemas.openxmlformats.org/officeDocument/2006/relationships/queryTable" Target="../queryTables/queryTable197.xml"/><Relationship Id="rId67" Type="http://schemas.openxmlformats.org/officeDocument/2006/relationships/queryTable" Target="../queryTables/queryTable205.xml"/><Relationship Id="rId20" Type="http://schemas.openxmlformats.org/officeDocument/2006/relationships/queryTable" Target="../queryTables/queryTable158.xml"/><Relationship Id="rId41" Type="http://schemas.openxmlformats.org/officeDocument/2006/relationships/queryTable" Target="../queryTables/queryTable179.xml"/><Relationship Id="rId54" Type="http://schemas.openxmlformats.org/officeDocument/2006/relationships/queryTable" Target="../queryTables/queryTable192.xml"/><Relationship Id="rId62" Type="http://schemas.openxmlformats.org/officeDocument/2006/relationships/queryTable" Target="../queryTables/queryTable200.xml"/><Relationship Id="rId70" Type="http://schemas.openxmlformats.org/officeDocument/2006/relationships/queryTable" Target="../queryTables/queryTable208.xml"/><Relationship Id="rId75" Type="http://schemas.openxmlformats.org/officeDocument/2006/relationships/queryTable" Target="../queryTables/queryTable213.xml"/><Relationship Id="rId83" Type="http://schemas.openxmlformats.org/officeDocument/2006/relationships/queryTable" Target="../queryTables/queryTable221.xml"/><Relationship Id="rId88" Type="http://schemas.openxmlformats.org/officeDocument/2006/relationships/queryTable" Target="../queryTables/queryTable226.xml"/><Relationship Id="rId91" Type="http://schemas.openxmlformats.org/officeDocument/2006/relationships/queryTable" Target="../queryTables/queryTable229.xml"/><Relationship Id="rId1" Type="http://schemas.openxmlformats.org/officeDocument/2006/relationships/queryTable" Target="../queryTables/queryTable139.xml"/><Relationship Id="rId6" Type="http://schemas.openxmlformats.org/officeDocument/2006/relationships/queryTable" Target="../queryTables/queryTable144.xml"/><Relationship Id="rId15" Type="http://schemas.openxmlformats.org/officeDocument/2006/relationships/queryTable" Target="../queryTables/queryTable153.xml"/><Relationship Id="rId23" Type="http://schemas.openxmlformats.org/officeDocument/2006/relationships/queryTable" Target="../queryTables/queryTable161.xml"/><Relationship Id="rId28" Type="http://schemas.openxmlformats.org/officeDocument/2006/relationships/queryTable" Target="../queryTables/queryTable166.xml"/><Relationship Id="rId36" Type="http://schemas.openxmlformats.org/officeDocument/2006/relationships/queryTable" Target="../queryTables/queryTable174.xml"/><Relationship Id="rId49" Type="http://schemas.openxmlformats.org/officeDocument/2006/relationships/queryTable" Target="../queryTables/queryTable187.xml"/><Relationship Id="rId57" Type="http://schemas.openxmlformats.org/officeDocument/2006/relationships/queryTable" Target="../queryTables/queryTable195.xml"/><Relationship Id="rId10" Type="http://schemas.openxmlformats.org/officeDocument/2006/relationships/queryTable" Target="../queryTables/queryTable148.xml"/><Relationship Id="rId31" Type="http://schemas.openxmlformats.org/officeDocument/2006/relationships/queryTable" Target="../queryTables/queryTable169.xml"/><Relationship Id="rId44" Type="http://schemas.openxmlformats.org/officeDocument/2006/relationships/queryTable" Target="../queryTables/queryTable182.xml"/><Relationship Id="rId52" Type="http://schemas.openxmlformats.org/officeDocument/2006/relationships/queryTable" Target="../queryTables/queryTable190.xml"/><Relationship Id="rId60" Type="http://schemas.openxmlformats.org/officeDocument/2006/relationships/queryTable" Target="../queryTables/queryTable198.xml"/><Relationship Id="rId65" Type="http://schemas.openxmlformats.org/officeDocument/2006/relationships/queryTable" Target="../queryTables/queryTable203.xml"/><Relationship Id="rId73" Type="http://schemas.openxmlformats.org/officeDocument/2006/relationships/queryTable" Target="../queryTables/queryTable211.xml"/><Relationship Id="rId78" Type="http://schemas.openxmlformats.org/officeDocument/2006/relationships/queryTable" Target="../queryTables/queryTable216.xml"/><Relationship Id="rId81" Type="http://schemas.openxmlformats.org/officeDocument/2006/relationships/queryTable" Target="../queryTables/queryTable219.xml"/><Relationship Id="rId86" Type="http://schemas.openxmlformats.org/officeDocument/2006/relationships/queryTable" Target="../queryTables/queryTable224.xml"/><Relationship Id="rId94" Type="http://schemas.openxmlformats.org/officeDocument/2006/relationships/queryTable" Target="../queryTables/queryTable232.xml"/><Relationship Id="rId4" Type="http://schemas.openxmlformats.org/officeDocument/2006/relationships/queryTable" Target="../queryTables/queryTable142.xml"/><Relationship Id="rId9" Type="http://schemas.openxmlformats.org/officeDocument/2006/relationships/queryTable" Target="../queryTables/queryTable147.xml"/><Relationship Id="rId13" Type="http://schemas.openxmlformats.org/officeDocument/2006/relationships/queryTable" Target="../queryTables/queryTable151.xml"/><Relationship Id="rId18" Type="http://schemas.openxmlformats.org/officeDocument/2006/relationships/queryTable" Target="../queryTables/queryTable156.xml"/><Relationship Id="rId39" Type="http://schemas.openxmlformats.org/officeDocument/2006/relationships/queryTable" Target="../queryTables/queryTable177.xml"/><Relationship Id="rId34" Type="http://schemas.openxmlformats.org/officeDocument/2006/relationships/queryTable" Target="../queryTables/queryTable172.xml"/><Relationship Id="rId50" Type="http://schemas.openxmlformats.org/officeDocument/2006/relationships/queryTable" Target="../queryTables/queryTable188.xml"/><Relationship Id="rId55" Type="http://schemas.openxmlformats.org/officeDocument/2006/relationships/queryTable" Target="../queryTables/queryTable193.xml"/><Relationship Id="rId76" Type="http://schemas.openxmlformats.org/officeDocument/2006/relationships/queryTable" Target="../queryTables/queryTable214.xml"/><Relationship Id="rId7" Type="http://schemas.openxmlformats.org/officeDocument/2006/relationships/queryTable" Target="../queryTables/queryTable145.xml"/><Relationship Id="rId71" Type="http://schemas.openxmlformats.org/officeDocument/2006/relationships/queryTable" Target="../queryTables/queryTable209.xml"/><Relationship Id="rId92" Type="http://schemas.openxmlformats.org/officeDocument/2006/relationships/queryTable" Target="../queryTables/queryTable230.xml"/><Relationship Id="rId2" Type="http://schemas.openxmlformats.org/officeDocument/2006/relationships/queryTable" Target="../queryTables/queryTable140.xml"/><Relationship Id="rId29" Type="http://schemas.openxmlformats.org/officeDocument/2006/relationships/queryTable" Target="../queryTables/queryTable167.xml"/><Relationship Id="rId24" Type="http://schemas.openxmlformats.org/officeDocument/2006/relationships/queryTable" Target="../queryTables/queryTable162.xml"/><Relationship Id="rId40" Type="http://schemas.openxmlformats.org/officeDocument/2006/relationships/queryTable" Target="../queryTables/queryTable178.xml"/><Relationship Id="rId45" Type="http://schemas.openxmlformats.org/officeDocument/2006/relationships/queryTable" Target="../queryTables/queryTable183.xml"/><Relationship Id="rId66" Type="http://schemas.openxmlformats.org/officeDocument/2006/relationships/queryTable" Target="../queryTables/queryTable204.xml"/><Relationship Id="rId87" Type="http://schemas.openxmlformats.org/officeDocument/2006/relationships/queryTable" Target="../queryTables/queryTable225.xml"/><Relationship Id="rId61" Type="http://schemas.openxmlformats.org/officeDocument/2006/relationships/queryTable" Target="../queryTables/queryTable199.xml"/><Relationship Id="rId82" Type="http://schemas.openxmlformats.org/officeDocument/2006/relationships/queryTable" Target="../queryTables/queryTable220.xml"/><Relationship Id="rId19" Type="http://schemas.openxmlformats.org/officeDocument/2006/relationships/queryTable" Target="../queryTables/queryTable157.xml"/><Relationship Id="rId14" Type="http://schemas.openxmlformats.org/officeDocument/2006/relationships/queryTable" Target="../queryTables/queryTable152.xml"/><Relationship Id="rId30" Type="http://schemas.openxmlformats.org/officeDocument/2006/relationships/queryTable" Target="../queryTables/queryTable168.xml"/><Relationship Id="rId35" Type="http://schemas.openxmlformats.org/officeDocument/2006/relationships/queryTable" Target="../queryTables/queryTable173.xml"/><Relationship Id="rId56" Type="http://schemas.openxmlformats.org/officeDocument/2006/relationships/queryTable" Target="../queryTables/queryTable194.xml"/><Relationship Id="rId77" Type="http://schemas.openxmlformats.org/officeDocument/2006/relationships/queryTable" Target="../queryTables/queryTable215.xml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45.xml"/><Relationship Id="rId18" Type="http://schemas.openxmlformats.org/officeDocument/2006/relationships/queryTable" Target="../queryTables/queryTable250.xml"/><Relationship Id="rId26" Type="http://schemas.openxmlformats.org/officeDocument/2006/relationships/queryTable" Target="../queryTables/queryTable258.xml"/><Relationship Id="rId39" Type="http://schemas.openxmlformats.org/officeDocument/2006/relationships/queryTable" Target="../queryTables/queryTable271.xml"/><Relationship Id="rId21" Type="http://schemas.openxmlformats.org/officeDocument/2006/relationships/queryTable" Target="../queryTables/queryTable253.xml"/><Relationship Id="rId34" Type="http://schemas.openxmlformats.org/officeDocument/2006/relationships/queryTable" Target="../queryTables/queryTable266.xml"/><Relationship Id="rId42" Type="http://schemas.openxmlformats.org/officeDocument/2006/relationships/queryTable" Target="../queryTables/queryTable274.xml"/><Relationship Id="rId47" Type="http://schemas.openxmlformats.org/officeDocument/2006/relationships/queryTable" Target="../queryTables/queryTable279.xml"/><Relationship Id="rId50" Type="http://schemas.openxmlformats.org/officeDocument/2006/relationships/queryTable" Target="../queryTables/queryTable282.xml"/><Relationship Id="rId55" Type="http://schemas.openxmlformats.org/officeDocument/2006/relationships/queryTable" Target="../queryTables/queryTable287.xml"/><Relationship Id="rId7" Type="http://schemas.openxmlformats.org/officeDocument/2006/relationships/queryTable" Target="../queryTables/queryTable239.xml"/><Relationship Id="rId2" Type="http://schemas.openxmlformats.org/officeDocument/2006/relationships/queryTable" Target="../queryTables/queryTable234.xml"/><Relationship Id="rId16" Type="http://schemas.openxmlformats.org/officeDocument/2006/relationships/queryTable" Target="../queryTables/queryTable248.xml"/><Relationship Id="rId29" Type="http://schemas.openxmlformats.org/officeDocument/2006/relationships/queryTable" Target="../queryTables/queryTable261.xml"/><Relationship Id="rId11" Type="http://schemas.openxmlformats.org/officeDocument/2006/relationships/queryTable" Target="../queryTables/queryTable243.xml"/><Relationship Id="rId24" Type="http://schemas.openxmlformats.org/officeDocument/2006/relationships/queryTable" Target="../queryTables/queryTable256.xml"/><Relationship Id="rId32" Type="http://schemas.openxmlformats.org/officeDocument/2006/relationships/queryTable" Target="../queryTables/queryTable264.xml"/><Relationship Id="rId37" Type="http://schemas.openxmlformats.org/officeDocument/2006/relationships/queryTable" Target="../queryTables/queryTable269.xml"/><Relationship Id="rId40" Type="http://schemas.openxmlformats.org/officeDocument/2006/relationships/queryTable" Target="../queryTables/queryTable272.xml"/><Relationship Id="rId45" Type="http://schemas.openxmlformats.org/officeDocument/2006/relationships/queryTable" Target="../queryTables/queryTable277.xml"/><Relationship Id="rId53" Type="http://schemas.openxmlformats.org/officeDocument/2006/relationships/queryTable" Target="../queryTables/queryTable285.xml"/><Relationship Id="rId58" Type="http://schemas.openxmlformats.org/officeDocument/2006/relationships/queryTable" Target="../queryTables/queryTable290.xml"/><Relationship Id="rId5" Type="http://schemas.openxmlformats.org/officeDocument/2006/relationships/queryTable" Target="../queryTables/queryTable237.xml"/><Relationship Id="rId61" Type="http://schemas.openxmlformats.org/officeDocument/2006/relationships/queryTable" Target="../queryTables/queryTable293.xml"/><Relationship Id="rId19" Type="http://schemas.openxmlformats.org/officeDocument/2006/relationships/queryTable" Target="../queryTables/queryTable251.xml"/><Relationship Id="rId14" Type="http://schemas.openxmlformats.org/officeDocument/2006/relationships/queryTable" Target="../queryTables/queryTable246.xml"/><Relationship Id="rId22" Type="http://schemas.openxmlformats.org/officeDocument/2006/relationships/queryTable" Target="../queryTables/queryTable254.xml"/><Relationship Id="rId27" Type="http://schemas.openxmlformats.org/officeDocument/2006/relationships/queryTable" Target="../queryTables/queryTable259.xml"/><Relationship Id="rId30" Type="http://schemas.openxmlformats.org/officeDocument/2006/relationships/queryTable" Target="../queryTables/queryTable262.xml"/><Relationship Id="rId35" Type="http://schemas.openxmlformats.org/officeDocument/2006/relationships/queryTable" Target="../queryTables/queryTable267.xml"/><Relationship Id="rId43" Type="http://schemas.openxmlformats.org/officeDocument/2006/relationships/queryTable" Target="../queryTables/queryTable275.xml"/><Relationship Id="rId48" Type="http://schemas.openxmlformats.org/officeDocument/2006/relationships/queryTable" Target="../queryTables/queryTable280.xml"/><Relationship Id="rId56" Type="http://schemas.openxmlformats.org/officeDocument/2006/relationships/queryTable" Target="../queryTables/queryTable288.xml"/><Relationship Id="rId8" Type="http://schemas.openxmlformats.org/officeDocument/2006/relationships/queryTable" Target="../queryTables/queryTable240.xml"/><Relationship Id="rId51" Type="http://schemas.openxmlformats.org/officeDocument/2006/relationships/queryTable" Target="../queryTables/queryTable283.xml"/><Relationship Id="rId3" Type="http://schemas.openxmlformats.org/officeDocument/2006/relationships/queryTable" Target="../queryTables/queryTable235.xml"/><Relationship Id="rId12" Type="http://schemas.openxmlformats.org/officeDocument/2006/relationships/queryTable" Target="../queryTables/queryTable244.xml"/><Relationship Id="rId17" Type="http://schemas.openxmlformats.org/officeDocument/2006/relationships/queryTable" Target="../queryTables/queryTable249.xml"/><Relationship Id="rId25" Type="http://schemas.openxmlformats.org/officeDocument/2006/relationships/queryTable" Target="../queryTables/queryTable257.xml"/><Relationship Id="rId33" Type="http://schemas.openxmlformats.org/officeDocument/2006/relationships/queryTable" Target="../queryTables/queryTable265.xml"/><Relationship Id="rId38" Type="http://schemas.openxmlformats.org/officeDocument/2006/relationships/queryTable" Target="../queryTables/queryTable270.xml"/><Relationship Id="rId46" Type="http://schemas.openxmlformats.org/officeDocument/2006/relationships/queryTable" Target="../queryTables/queryTable278.xml"/><Relationship Id="rId59" Type="http://schemas.openxmlformats.org/officeDocument/2006/relationships/queryTable" Target="../queryTables/queryTable291.xml"/><Relationship Id="rId20" Type="http://schemas.openxmlformats.org/officeDocument/2006/relationships/queryTable" Target="../queryTables/queryTable252.xml"/><Relationship Id="rId41" Type="http://schemas.openxmlformats.org/officeDocument/2006/relationships/queryTable" Target="../queryTables/queryTable273.xml"/><Relationship Id="rId54" Type="http://schemas.openxmlformats.org/officeDocument/2006/relationships/queryTable" Target="../queryTables/queryTable286.xml"/><Relationship Id="rId62" Type="http://schemas.openxmlformats.org/officeDocument/2006/relationships/queryTable" Target="../queryTables/queryTable294.xml"/><Relationship Id="rId1" Type="http://schemas.openxmlformats.org/officeDocument/2006/relationships/queryTable" Target="../queryTables/queryTable233.xml"/><Relationship Id="rId6" Type="http://schemas.openxmlformats.org/officeDocument/2006/relationships/queryTable" Target="../queryTables/queryTable238.xml"/><Relationship Id="rId15" Type="http://schemas.openxmlformats.org/officeDocument/2006/relationships/queryTable" Target="../queryTables/queryTable247.xml"/><Relationship Id="rId23" Type="http://schemas.openxmlformats.org/officeDocument/2006/relationships/queryTable" Target="../queryTables/queryTable255.xml"/><Relationship Id="rId28" Type="http://schemas.openxmlformats.org/officeDocument/2006/relationships/queryTable" Target="../queryTables/queryTable260.xml"/><Relationship Id="rId36" Type="http://schemas.openxmlformats.org/officeDocument/2006/relationships/queryTable" Target="../queryTables/queryTable268.xml"/><Relationship Id="rId49" Type="http://schemas.openxmlformats.org/officeDocument/2006/relationships/queryTable" Target="../queryTables/queryTable281.xml"/><Relationship Id="rId57" Type="http://schemas.openxmlformats.org/officeDocument/2006/relationships/queryTable" Target="../queryTables/queryTable289.xml"/><Relationship Id="rId10" Type="http://schemas.openxmlformats.org/officeDocument/2006/relationships/queryTable" Target="../queryTables/queryTable242.xml"/><Relationship Id="rId31" Type="http://schemas.openxmlformats.org/officeDocument/2006/relationships/queryTable" Target="../queryTables/queryTable263.xml"/><Relationship Id="rId44" Type="http://schemas.openxmlformats.org/officeDocument/2006/relationships/queryTable" Target="../queryTables/queryTable276.xml"/><Relationship Id="rId52" Type="http://schemas.openxmlformats.org/officeDocument/2006/relationships/queryTable" Target="../queryTables/queryTable284.xml"/><Relationship Id="rId60" Type="http://schemas.openxmlformats.org/officeDocument/2006/relationships/queryTable" Target="../queryTables/queryTable292.xml"/><Relationship Id="rId4" Type="http://schemas.openxmlformats.org/officeDocument/2006/relationships/queryTable" Target="../queryTables/queryTable236.xml"/><Relationship Id="rId9" Type="http://schemas.openxmlformats.org/officeDocument/2006/relationships/queryTable" Target="../queryTables/queryTable241.xml"/></Relationships>
</file>

<file path=xl/worksheets/_rels/sheet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07.xml"/><Relationship Id="rId18" Type="http://schemas.openxmlformats.org/officeDocument/2006/relationships/queryTable" Target="../queryTables/queryTable312.xml"/><Relationship Id="rId26" Type="http://schemas.openxmlformats.org/officeDocument/2006/relationships/queryTable" Target="../queryTables/queryTable320.xml"/><Relationship Id="rId39" Type="http://schemas.openxmlformats.org/officeDocument/2006/relationships/queryTable" Target="../queryTables/queryTable333.xml"/><Relationship Id="rId21" Type="http://schemas.openxmlformats.org/officeDocument/2006/relationships/queryTable" Target="../queryTables/queryTable315.xml"/><Relationship Id="rId34" Type="http://schemas.openxmlformats.org/officeDocument/2006/relationships/queryTable" Target="../queryTables/queryTable328.xml"/><Relationship Id="rId42" Type="http://schemas.openxmlformats.org/officeDocument/2006/relationships/queryTable" Target="../queryTables/queryTable336.xml"/><Relationship Id="rId47" Type="http://schemas.openxmlformats.org/officeDocument/2006/relationships/queryTable" Target="../queryTables/queryTable341.xml"/><Relationship Id="rId50" Type="http://schemas.openxmlformats.org/officeDocument/2006/relationships/queryTable" Target="../queryTables/queryTable344.xml"/><Relationship Id="rId55" Type="http://schemas.openxmlformats.org/officeDocument/2006/relationships/queryTable" Target="../queryTables/queryTable349.xml"/><Relationship Id="rId7" Type="http://schemas.openxmlformats.org/officeDocument/2006/relationships/queryTable" Target="../queryTables/queryTable301.xml"/><Relationship Id="rId2" Type="http://schemas.openxmlformats.org/officeDocument/2006/relationships/queryTable" Target="../queryTables/queryTable296.xml"/><Relationship Id="rId16" Type="http://schemas.openxmlformats.org/officeDocument/2006/relationships/queryTable" Target="../queryTables/queryTable310.xml"/><Relationship Id="rId29" Type="http://schemas.openxmlformats.org/officeDocument/2006/relationships/queryTable" Target="../queryTables/queryTable323.xml"/><Relationship Id="rId11" Type="http://schemas.openxmlformats.org/officeDocument/2006/relationships/queryTable" Target="../queryTables/queryTable305.xml"/><Relationship Id="rId24" Type="http://schemas.openxmlformats.org/officeDocument/2006/relationships/queryTable" Target="../queryTables/queryTable318.xml"/><Relationship Id="rId32" Type="http://schemas.openxmlformats.org/officeDocument/2006/relationships/queryTable" Target="../queryTables/queryTable326.xml"/><Relationship Id="rId37" Type="http://schemas.openxmlformats.org/officeDocument/2006/relationships/queryTable" Target="../queryTables/queryTable331.xml"/><Relationship Id="rId40" Type="http://schemas.openxmlformats.org/officeDocument/2006/relationships/queryTable" Target="../queryTables/queryTable334.xml"/><Relationship Id="rId45" Type="http://schemas.openxmlformats.org/officeDocument/2006/relationships/queryTable" Target="../queryTables/queryTable339.xml"/><Relationship Id="rId53" Type="http://schemas.openxmlformats.org/officeDocument/2006/relationships/queryTable" Target="../queryTables/queryTable347.xml"/><Relationship Id="rId58" Type="http://schemas.openxmlformats.org/officeDocument/2006/relationships/queryTable" Target="../queryTables/queryTable352.xml"/><Relationship Id="rId5" Type="http://schemas.openxmlformats.org/officeDocument/2006/relationships/queryTable" Target="../queryTables/queryTable299.xml"/><Relationship Id="rId61" Type="http://schemas.openxmlformats.org/officeDocument/2006/relationships/queryTable" Target="../queryTables/queryTable355.xml"/><Relationship Id="rId19" Type="http://schemas.openxmlformats.org/officeDocument/2006/relationships/queryTable" Target="../queryTables/queryTable313.xml"/><Relationship Id="rId14" Type="http://schemas.openxmlformats.org/officeDocument/2006/relationships/queryTable" Target="../queryTables/queryTable308.xml"/><Relationship Id="rId22" Type="http://schemas.openxmlformats.org/officeDocument/2006/relationships/queryTable" Target="../queryTables/queryTable316.xml"/><Relationship Id="rId27" Type="http://schemas.openxmlformats.org/officeDocument/2006/relationships/queryTable" Target="../queryTables/queryTable321.xml"/><Relationship Id="rId30" Type="http://schemas.openxmlformats.org/officeDocument/2006/relationships/queryTable" Target="../queryTables/queryTable324.xml"/><Relationship Id="rId35" Type="http://schemas.openxmlformats.org/officeDocument/2006/relationships/queryTable" Target="../queryTables/queryTable329.xml"/><Relationship Id="rId43" Type="http://schemas.openxmlformats.org/officeDocument/2006/relationships/queryTable" Target="../queryTables/queryTable337.xml"/><Relationship Id="rId48" Type="http://schemas.openxmlformats.org/officeDocument/2006/relationships/queryTable" Target="../queryTables/queryTable342.xml"/><Relationship Id="rId56" Type="http://schemas.openxmlformats.org/officeDocument/2006/relationships/queryTable" Target="../queryTables/queryTable350.xml"/><Relationship Id="rId8" Type="http://schemas.openxmlformats.org/officeDocument/2006/relationships/queryTable" Target="../queryTables/queryTable302.xml"/><Relationship Id="rId51" Type="http://schemas.openxmlformats.org/officeDocument/2006/relationships/queryTable" Target="../queryTables/queryTable345.xml"/><Relationship Id="rId3" Type="http://schemas.openxmlformats.org/officeDocument/2006/relationships/queryTable" Target="../queryTables/queryTable297.xml"/><Relationship Id="rId12" Type="http://schemas.openxmlformats.org/officeDocument/2006/relationships/queryTable" Target="../queryTables/queryTable306.xml"/><Relationship Id="rId17" Type="http://schemas.openxmlformats.org/officeDocument/2006/relationships/queryTable" Target="../queryTables/queryTable311.xml"/><Relationship Id="rId25" Type="http://schemas.openxmlformats.org/officeDocument/2006/relationships/queryTable" Target="../queryTables/queryTable319.xml"/><Relationship Id="rId33" Type="http://schemas.openxmlformats.org/officeDocument/2006/relationships/queryTable" Target="../queryTables/queryTable327.xml"/><Relationship Id="rId38" Type="http://schemas.openxmlformats.org/officeDocument/2006/relationships/queryTable" Target="../queryTables/queryTable332.xml"/><Relationship Id="rId46" Type="http://schemas.openxmlformats.org/officeDocument/2006/relationships/queryTable" Target="../queryTables/queryTable340.xml"/><Relationship Id="rId59" Type="http://schemas.openxmlformats.org/officeDocument/2006/relationships/queryTable" Target="../queryTables/queryTable353.xml"/><Relationship Id="rId20" Type="http://schemas.openxmlformats.org/officeDocument/2006/relationships/queryTable" Target="../queryTables/queryTable314.xml"/><Relationship Id="rId41" Type="http://schemas.openxmlformats.org/officeDocument/2006/relationships/queryTable" Target="../queryTables/queryTable335.xml"/><Relationship Id="rId54" Type="http://schemas.openxmlformats.org/officeDocument/2006/relationships/queryTable" Target="../queryTables/queryTable348.xml"/><Relationship Id="rId1" Type="http://schemas.openxmlformats.org/officeDocument/2006/relationships/queryTable" Target="../queryTables/queryTable295.xml"/><Relationship Id="rId6" Type="http://schemas.openxmlformats.org/officeDocument/2006/relationships/queryTable" Target="../queryTables/queryTable300.xml"/><Relationship Id="rId15" Type="http://schemas.openxmlformats.org/officeDocument/2006/relationships/queryTable" Target="../queryTables/queryTable309.xml"/><Relationship Id="rId23" Type="http://schemas.openxmlformats.org/officeDocument/2006/relationships/queryTable" Target="../queryTables/queryTable317.xml"/><Relationship Id="rId28" Type="http://schemas.openxmlformats.org/officeDocument/2006/relationships/queryTable" Target="../queryTables/queryTable322.xml"/><Relationship Id="rId36" Type="http://schemas.openxmlformats.org/officeDocument/2006/relationships/queryTable" Target="../queryTables/queryTable330.xml"/><Relationship Id="rId49" Type="http://schemas.openxmlformats.org/officeDocument/2006/relationships/queryTable" Target="../queryTables/queryTable343.xml"/><Relationship Id="rId57" Type="http://schemas.openxmlformats.org/officeDocument/2006/relationships/queryTable" Target="../queryTables/queryTable351.xml"/><Relationship Id="rId10" Type="http://schemas.openxmlformats.org/officeDocument/2006/relationships/queryTable" Target="../queryTables/queryTable304.xml"/><Relationship Id="rId31" Type="http://schemas.openxmlformats.org/officeDocument/2006/relationships/queryTable" Target="../queryTables/queryTable325.xml"/><Relationship Id="rId44" Type="http://schemas.openxmlformats.org/officeDocument/2006/relationships/queryTable" Target="../queryTables/queryTable338.xml"/><Relationship Id="rId52" Type="http://schemas.openxmlformats.org/officeDocument/2006/relationships/queryTable" Target="../queryTables/queryTable346.xml"/><Relationship Id="rId60" Type="http://schemas.openxmlformats.org/officeDocument/2006/relationships/queryTable" Target="../queryTables/queryTable354.xml"/><Relationship Id="rId4" Type="http://schemas.openxmlformats.org/officeDocument/2006/relationships/queryTable" Target="../queryTables/queryTable298.xml"/><Relationship Id="rId9" Type="http://schemas.openxmlformats.org/officeDocument/2006/relationships/queryTable" Target="../queryTables/queryTable30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DA667-6B15-2849-847F-48195645B7E3}">
  <sheetPr codeName="Sheet1"/>
  <dimension ref="A1:I44"/>
  <sheetViews>
    <sheetView showGridLines="0" zoomScale="85" zoomScaleNormal="85" workbookViewId="0">
      <selection activeCell="L10" sqref="L10"/>
    </sheetView>
  </sheetViews>
  <sheetFormatPr defaultColWidth="11" defaultRowHeight="15.75" x14ac:dyDescent="0.5"/>
  <cols>
    <col min="1" max="1" width="23.375" bestFit="1" customWidth="1"/>
    <col min="2" max="2" width="17.875" customWidth="1"/>
    <col min="3" max="3" width="12.25" bestFit="1" customWidth="1"/>
    <col min="4" max="4" width="15.875" bestFit="1" customWidth="1"/>
    <col min="5" max="5" width="12.25" bestFit="1" customWidth="1"/>
    <col min="6" max="6" width="10.25" bestFit="1" customWidth="1"/>
    <col min="7" max="7" width="9.25" bestFit="1" customWidth="1"/>
    <col min="8" max="8" width="10.5" bestFit="1" customWidth="1"/>
  </cols>
  <sheetData>
    <row r="1" spans="1:9" ht="16.149999999999999" thickBot="1" x14ac:dyDescent="0.55000000000000004">
      <c r="A1" s="47"/>
      <c r="B1" s="47"/>
      <c r="C1" s="47"/>
      <c r="D1" s="47"/>
      <c r="E1" s="47"/>
      <c r="F1" s="47"/>
      <c r="G1" s="47"/>
      <c r="H1" s="47"/>
      <c r="I1" s="47"/>
    </row>
    <row r="2" spans="1:9" x14ac:dyDescent="0.5">
      <c r="A2" s="3" t="s">
        <v>1016</v>
      </c>
      <c r="B2" s="7" t="s">
        <v>458</v>
      </c>
      <c r="C2" s="47"/>
      <c r="D2" s="10" t="s">
        <v>1125</v>
      </c>
      <c r="E2" s="43">
        <f>AVERAGE('PRICE DATA'!F:F)</f>
        <v>468.37376713847726</v>
      </c>
      <c r="F2" s="47"/>
      <c r="G2" s="47"/>
      <c r="H2" s="47"/>
      <c r="I2" s="47"/>
    </row>
    <row r="3" spans="1:9" x14ac:dyDescent="0.5">
      <c r="A3" s="6" t="s">
        <v>1017</v>
      </c>
      <c r="B3" s="8" t="str">
        <f>_xlfn.XLOOKUP(MAIN!B2,sp500_[Security],sp500_[Symbol],"NaN")</f>
        <v>GS</v>
      </c>
      <c r="C3" s="47"/>
      <c r="D3" s="11" t="s">
        <v>1126</v>
      </c>
      <c r="E3" s="45">
        <f>_xlfn.STDEV.P('PRICE DATA'!F:F)</f>
        <v>69.459012586063707</v>
      </c>
      <c r="F3" s="47"/>
      <c r="G3" s="47"/>
      <c r="H3" s="47"/>
      <c r="I3" s="47"/>
    </row>
    <row r="4" spans="1:9" ht="16.149999999999999" thickBot="1" x14ac:dyDescent="0.55000000000000004">
      <c r="A4" s="5" t="s">
        <v>1083</v>
      </c>
      <c r="B4" s="9" t="s">
        <v>1151</v>
      </c>
      <c r="C4" s="47"/>
      <c r="D4" s="11" t="s">
        <v>1127</v>
      </c>
      <c r="E4" s="44">
        <f>_xlfn.COVARIANCE.P('PRICE SP500'!B:B,'PRICE DATA'!B:B)/_xlfn.VAR.P('PRICE SP500'!B:B)</f>
        <v>-0.11596201910497626</v>
      </c>
      <c r="F4" s="47"/>
      <c r="G4" s="47"/>
      <c r="H4" s="47"/>
      <c r="I4" s="47"/>
    </row>
    <row r="5" spans="1:9" x14ac:dyDescent="0.5">
      <c r="A5" s="47"/>
      <c r="B5" s="47"/>
      <c r="C5" s="47"/>
      <c r="D5" s="11" t="s">
        <v>1128</v>
      </c>
      <c r="E5" s="44">
        <f>MAX('PRICE DATA'!B:B)</f>
        <v>0.13097759909322901</v>
      </c>
      <c r="F5" s="47"/>
      <c r="G5" s="47"/>
      <c r="H5" s="47"/>
      <c r="I5" s="47"/>
    </row>
    <row r="6" spans="1:9" ht="16.149999999999999" thickBot="1" x14ac:dyDescent="0.55000000000000004">
      <c r="A6" s="47"/>
      <c r="B6" s="47"/>
      <c r="C6" s="47"/>
      <c r="D6" s="12" t="s">
        <v>1129</v>
      </c>
      <c r="E6" s="46">
        <f>MIN('PRICE DATA'!B:B)</f>
        <v>-5.8945768883515097E-2</v>
      </c>
      <c r="F6" s="47"/>
      <c r="G6" s="47"/>
      <c r="H6" s="47"/>
      <c r="I6" s="47"/>
    </row>
    <row r="7" spans="1:9" x14ac:dyDescent="0.5">
      <c r="A7" s="49"/>
      <c r="B7" s="50"/>
      <c r="C7" s="47"/>
      <c r="D7" s="47"/>
      <c r="E7" s="47"/>
      <c r="F7" s="47"/>
      <c r="G7" s="47"/>
      <c r="H7" s="47"/>
      <c r="I7" s="47"/>
    </row>
    <row r="8" spans="1:9" x14ac:dyDescent="0.5">
      <c r="A8" s="51"/>
      <c r="B8" s="52"/>
      <c r="C8" s="47"/>
      <c r="D8" s="47"/>
      <c r="E8" s="47"/>
      <c r="F8" s="47"/>
      <c r="G8" s="47"/>
      <c r="H8" s="47"/>
      <c r="I8" s="47"/>
    </row>
    <row r="9" spans="1:9" x14ac:dyDescent="0.5">
      <c r="A9" s="51"/>
      <c r="B9" s="52"/>
      <c r="C9" s="47"/>
      <c r="D9" s="47"/>
      <c r="E9" s="47"/>
      <c r="F9" s="47"/>
      <c r="G9" s="47"/>
      <c r="H9" s="47"/>
      <c r="I9" s="47"/>
    </row>
    <row r="10" spans="1:9" x14ac:dyDescent="0.5">
      <c r="A10" s="51"/>
      <c r="B10" s="52"/>
      <c r="C10" s="47"/>
      <c r="D10" s="47"/>
      <c r="E10" s="47"/>
      <c r="F10" s="47"/>
      <c r="G10" s="47"/>
      <c r="H10" s="47"/>
      <c r="I10" s="47"/>
    </row>
    <row r="11" spans="1:9" x14ac:dyDescent="0.5">
      <c r="A11" s="51"/>
      <c r="B11" s="52"/>
      <c r="C11" s="47"/>
      <c r="D11" s="47"/>
      <c r="E11" s="47"/>
      <c r="F11" s="47"/>
      <c r="G11" s="47"/>
      <c r="H11" s="47"/>
      <c r="I11" s="47"/>
    </row>
    <row r="12" spans="1:9" ht="16.149999999999999" thickBot="1" x14ac:dyDescent="0.55000000000000004">
      <c r="A12" s="53"/>
      <c r="B12" s="54"/>
      <c r="C12" s="47"/>
      <c r="D12" s="47"/>
      <c r="E12" s="47"/>
      <c r="F12" s="47"/>
      <c r="G12" s="47"/>
      <c r="H12" s="47"/>
      <c r="I12" s="47"/>
    </row>
    <row r="13" spans="1:9" x14ac:dyDescent="0.5">
      <c r="A13" s="47"/>
      <c r="B13" s="47"/>
      <c r="C13" s="47"/>
      <c r="D13" s="47"/>
      <c r="E13" s="47"/>
      <c r="F13" s="47"/>
      <c r="G13" s="47"/>
      <c r="H13" s="47"/>
      <c r="I13" s="47"/>
    </row>
    <row r="14" spans="1:9" x14ac:dyDescent="0.5">
      <c r="A14" s="47"/>
      <c r="B14" s="47"/>
      <c r="C14" s="47"/>
      <c r="D14" s="47"/>
      <c r="E14" s="47"/>
      <c r="F14" s="47"/>
      <c r="G14" s="47"/>
      <c r="H14" s="47"/>
      <c r="I14" s="47"/>
    </row>
    <row r="15" spans="1:9" x14ac:dyDescent="0.5">
      <c r="A15" s="47"/>
      <c r="B15" s="47"/>
      <c r="C15" s="47"/>
      <c r="D15" s="47"/>
      <c r="E15" s="47"/>
      <c r="F15" s="47"/>
      <c r="G15" s="47"/>
      <c r="H15" s="47"/>
      <c r="I15" s="47"/>
    </row>
    <row r="16" spans="1:9" x14ac:dyDescent="0.5">
      <c r="A16" s="47"/>
      <c r="B16" s="47"/>
      <c r="C16" s="47"/>
      <c r="D16" s="47"/>
      <c r="E16" s="47"/>
      <c r="F16" s="47"/>
      <c r="G16" s="47"/>
      <c r="H16" s="47"/>
      <c r="I16" s="47"/>
    </row>
    <row r="17" spans="1:9" x14ac:dyDescent="0.5">
      <c r="A17" s="47"/>
      <c r="B17" s="47"/>
      <c r="C17" s="47"/>
      <c r="D17" s="47"/>
      <c r="E17" s="47"/>
      <c r="F17" s="47"/>
      <c r="G17" s="47"/>
      <c r="H17" s="47"/>
      <c r="I17" s="47"/>
    </row>
    <row r="18" spans="1:9" x14ac:dyDescent="0.5">
      <c r="A18" s="47"/>
      <c r="B18" s="47"/>
      <c r="C18" s="47"/>
      <c r="D18" s="47"/>
      <c r="E18" s="47"/>
      <c r="F18" s="47"/>
      <c r="G18" s="47"/>
      <c r="H18" s="47"/>
      <c r="I18" s="47"/>
    </row>
    <row r="19" spans="1:9" x14ac:dyDescent="0.5">
      <c r="A19" s="47"/>
      <c r="B19" s="47"/>
      <c r="C19" s="47"/>
      <c r="D19" s="47"/>
      <c r="E19" s="47"/>
      <c r="F19" s="47"/>
      <c r="G19" s="47"/>
      <c r="H19" s="47"/>
      <c r="I19" s="47"/>
    </row>
    <row r="20" spans="1:9" x14ac:dyDescent="0.5">
      <c r="A20" s="47"/>
      <c r="B20" s="47"/>
      <c r="C20" s="47"/>
      <c r="D20" s="47"/>
      <c r="E20" s="47"/>
      <c r="F20" s="47"/>
      <c r="G20" s="47"/>
      <c r="H20" s="47"/>
      <c r="I20" s="47"/>
    </row>
    <row r="21" spans="1:9" x14ac:dyDescent="0.5">
      <c r="A21" s="47"/>
      <c r="B21" s="47"/>
      <c r="C21" s="47"/>
      <c r="D21" s="47"/>
      <c r="E21" s="47"/>
      <c r="F21" s="47"/>
      <c r="G21" s="47"/>
      <c r="H21" s="47"/>
      <c r="I21" s="47"/>
    </row>
    <row r="22" spans="1:9" x14ac:dyDescent="0.5">
      <c r="A22" s="47"/>
      <c r="B22" s="47"/>
      <c r="C22" s="47"/>
      <c r="D22" s="47"/>
      <c r="E22" s="47"/>
      <c r="F22" s="47"/>
      <c r="G22" s="47"/>
      <c r="H22" s="47"/>
      <c r="I22" s="47"/>
    </row>
    <row r="23" spans="1:9" x14ac:dyDescent="0.5">
      <c r="A23" s="47"/>
      <c r="B23" s="47"/>
      <c r="C23" s="47"/>
      <c r="D23" s="47"/>
      <c r="E23" s="47"/>
      <c r="F23" s="47"/>
      <c r="G23" s="47"/>
      <c r="H23" s="47"/>
      <c r="I23" s="47"/>
    </row>
    <row r="24" spans="1:9" x14ac:dyDescent="0.5">
      <c r="A24" s="47"/>
      <c r="B24" s="47"/>
      <c r="C24" s="47"/>
      <c r="D24" s="47"/>
      <c r="E24" s="47"/>
      <c r="F24" s="47"/>
      <c r="G24" s="47"/>
      <c r="H24" s="47"/>
      <c r="I24" s="47"/>
    </row>
    <row r="25" spans="1:9" x14ac:dyDescent="0.5">
      <c r="A25" s="47"/>
      <c r="B25" s="47"/>
      <c r="C25" s="47"/>
      <c r="D25" s="47"/>
      <c r="E25" s="47"/>
      <c r="F25" s="47"/>
      <c r="G25" s="47"/>
      <c r="H25" s="47"/>
      <c r="I25" s="47"/>
    </row>
    <row r="26" spans="1:9" x14ac:dyDescent="0.5">
      <c r="A26" s="47"/>
      <c r="B26" s="47"/>
      <c r="C26" s="47"/>
      <c r="D26" s="47"/>
      <c r="E26" s="47"/>
      <c r="F26" s="47"/>
      <c r="G26" s="47"/>
      <c r="H26" s="47"/>
      <c r="I26" s="47"/>
    </row>
    <row r="27" spans="1:9" x14ac:dyDescent="0.5">
      <c r="A27" s="47"/>
      <c r="B27" s="47"/>
      <c r="C27" s="47"/>
      <c r="D27" s="47"/>
      <c r="E27" s="47"/>
      <c r="F27" s="47"/>
      <c r="G27" s="47"/>
      <c r="H27" s="47"/>
      <c r="I27" s="47"/>
    </row>
    <row r="28" spans="1:9" x14ac:dyDescent="0.5">
      <c r="A28" s="47"/>
      <c r="B28" s="47"/>
      <c r="C28" s="47"/>
      <c r="D28" s="47"/>
      <c r="E28" s="47"/>
      <c r="F28" s="47"/>
      <c r="G28" s="47"/>
      <c r="H28" s="47"/>
      <c r="I28" s="47"/>
    </row>
    <row r="29" spans="1:9" x14ac:dyDescent="0.5">
      <c r="A29" s="47"/>
      <c r="B29" s="47"/>
      <c r="C29" s="47"/>
      <c r="D29" s="47"/>
      <c r="E29" s="47"/>
      <c r="F29" s="47"/>
      <c r="G29" s="47"/>
      <c r="H29" s="47"/>
      <c r="I29" s="47"/>
    </row>
    <row r="30" spans="1:9" x14ac:dyDescent="0.5">
      <c r="A30" s="47"/>
      <c r="B30" s="47"/>
      <c r="C30" s="47"/>
      <c r="D30" s="47"/>
      <c r="E30" s="47"/>
      <c r="F30" s="47"/>
      <c r="G30" s="47"/>
      <c r="H30" s="47"/>
      <c r="I30" s="47"/>
    </row>
    <row r="31" spans="1:9" x14ac:dyDescent="0.5">
      <c r="A31" s="47"/>
      <c r="B31" s="47"/>
      <c r="C31" s="47"/>
      <c r="D31" s="47"/>
      <c r="E31" s="47"/>
      <c r="F31" s="47"/>
      <c r="G31" s="47"/>
      <c r="H31" s="47"/>
      <c r="I31" s="47"/>
    </row>
    <row r="32" spans="1:9" x14ac:dyDescent="0.5">
      <c r="A32" s="47"/>
      <c r="B32" s="47"/>
      <c r="C32" s="47"/>
      <c r="D32" s="47"/>
      <c r="E32" s="47"/>
      <c r="F32" s="47"/>
      <c r="G32" s="47"/>
      <c r="H32" s="47"/>
      <c r="I32" s="47"/>
    </row>
    <row r="33" spans="1:9" x14ac:dyDescent="0.5">
      <c r="A33" s="47"/>
      <c r="B33" s="47"/>
      <c r="C33" s="47"/>
      <c r="D33" s="47"/>
      <c r="E33" s="47"/>
      <c r="F33" s="47"/>
      <c r="G33" s="47"/>
      <c r="H33" s="47"/>
      <c r="I33" s="47"/>
    </row>
    <row r="34" spans="1:9" x14ac:dyDescent="0.5">
      <c r="A34" s="47"/>
      <c r="B34" s="47"/>
      <c r="C34" s="47"/>
      <c r="D34" s="47"/>
      <c r="E34" s="47"/>
      <c r="F34" s="47"/>
      <c r="G34" s="47"/>
      <c r="H34" s="47"/>
      <c r="I34" s="47"/>
    </row>
    <row r="35" spans="1:9" x14ac:dyDescent="0.5">
      <c r="A35" s="47"/>
      <c r="B35" s="47"/>
      <c r="C35" s="47"/>
      <c r="D35" s="47"/>
      <c r="E35" s="47"/>
      <c r="F35" s="47"/>
      <c r="G35" s="47"/>
      <c r="H35" s="47"/>
      <c r="I35" s="47"/>
    </row>
    <row r="36" spans="1:9" x14ac:dyDescent="0.5">
      <c r="A36" s="47"/>
      <c r="B36" s="47"/>
      <c r="C36" s="47"/>
      <c r="D36" s="47"/>
      <c r="E36" s="47"/>
      <c r="F36" s="47"/>
      <c r="G36" s="47"/>
      <c r="H36" s="47"/>
      <c r="I36" s="47"/>
    </row>
    <row r="37" spans="1:9" x14ac:dyDescent="0.5">
      <c r="A37" s="47"/>
      <c r="B37" s="47"/>
      <c r="C37" s="47"/>
      <c r="D37" s="47"/>
      <c r="E37" s="47"/>
      <c r="F37" s="47"/>
      <c r="G37" s="47"/>
      <c r="H37" s="47"/>
      <c r="I37" s="47"/>
    </row>
    <row r="38" spans="1:9" x14ac:dyDescent="0.5">
      <c r="A38" s="47"/>
      <c r="B38" s="47"/>
      <c r="C38" s="47"/>
      <c r="D38" s="47"/>
      <c r="E38" s="47"/>
      <c r="F38" s="47"/>
      <c r="G38" s="47"/>
      <c r="H38" s="47"/>
      <c r="I38" s="47"/>
    </row>
    <row r="39" spans="1:9" x14ac:dyDescent="0.5">
      <c r="A39" s="47"/>
      <c r="B39" s="47"/>
      <c r="C39" s="47"/>
      <c r="D39" s="47"/>
      <c r="E39" s="47"/>
      <c r="F39" s="47"/>
      <c r="G39" s="47"/>
      <c r="H39" s="47"/>
      <c r="I39" s="47"/>
    </row>
    <row r="40" spans="1:9" x14ac:dyDescent="0.5">
      <c r="A40" s="47"/>
      <c r="B40" s="47"/>
      <c r="C40" s="47"/>
      <c r="D40" s="47"/>
      <c r="E40" s="47"/>
      <c r="F40" s="47"/>
      <c r="G40" s="47"/>
      <c r="H40" s="47"/>
      <c r="I40" s="47"/>
    </row>
    <row r="41" spans="1:9" x14ac:dyDescent="0.5">
      <c r="A41" s="47"/>
      <c r="B41" s="47"/>
      <c r="C41" s="47"/>
      <c r="D41" s="47"/>
      <c r="E41" s="47"/>
      <c r="F41" s="47"/>
      <c r="G41" s="47"/>
      <c r="H41" s="47"/>
      <c r="I41" s="47"/>
    </row>
    <row r="42" spans="1:9" x14ac:dyDescent="0.5">
      <c r="A42" s="47"/>
      <c r="B42" s="47"/>
      <c r="C42" s="47"/>
      <c r="D42" s="47"/>
      <c r="E42" s="47"/>
      <c r="F42" s="47"/>
      <c r="G42" s="47"/>
      <c r="H42" s="47"/>
      <c r="I42" s="47"/>
    </row>
    <row r="43" spans="1:9" x14ac:dyDescent="0.5">
      <c r="A43" s="47"/>
      <c r="B43" s="47"/>
      <c r="C43" s="47"/>
      <c r="D43" s="47"/>
      <c r="E43" s="47"/>
      <c r="F43" s="47"/>
      <c r="G43" s="47"/>
      <c r="H43" s="47"/>
      <c r="I43" s="47"/>
    </row>
    <row r="44" spans="1:9" x14ac:dyDescent="0.5">
      <c r="A44" s="47"/>
      <c r="B44" s="47"/>
      <c r="C44" s="47"/>
      <c r="D44" s="47"/>
      <c r="E44" s="47"/>
      <c r="F44" s="47"/>
      <c r="G44" s="47"/>
      <c r="H44" s="47"/>
      <c r="I44" s="47"/>
    </row>
  </sheetData>
  <mergeCells count="1">
    <mergeCell ref="A7:B12"/>
  </mergeCells>
  <dataValidations count="1">
    <dataValidation type="list" allowBlank="1" showInputMessage="1" showErrorMessage="1" sqref="B4" xr:uid="{21B35216-EC83-B44E-B541-12D654D4B537}">
      <formula1>"5d, 1mo, 3mo, 6mo, 1y, 2y, 5y, 10y, ytd"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>
                  <from>
                    <xdr:col>0</xdr:col>
                    <xdr:colOff>190500</xdr:colOff>
                    <xdr:row>6</xdr:row>
                    <xdr:rowOff>133350</xdr:rowOff>
                  </from>
                  <to>
                    <xdr:col>1</xdr:col>
                    <xdr:colOff>1152525</xdr:colOff>
                    <xdr:row>11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C7E96B-DCBF-5946-894B-CAB32BD64A8B}">
          <x14:formula1>
            <xm:f>'sp500'!$B$3:$B$504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0C46-1D40-4C4C-A1F5-68CAC3D823B8}">
  <sheetPr codeName="Sheet5"/>
  <dimension ref="A1:M50"/>
  <sheetViews>
    <sheetView showGridLines="0" tabSelected="1" zoomScale="72" zoomScaleNormal="85" workbookViewId="0">
      <selection activeCell="O16" sqref="O16"/>
    </sheetView>
  </sheetViews>
  <sheetFormatPr defaultRowHeight="15.75" x14ac:dyDescent="0.5"/>
  <cols>
    <col min="1" max="1" width="4" customWidth="1"/>
    <col min="2" max="2" width="11.5" bestFit="1" customWidth="1"/>
    <col min="3" max="3" width="40.375" customWidth="1"/>
    <col min="4" max="4" width="13.5" customWidth="1"/>
    <col min="7" max="7" width="20.875" bestFit="1" customWidth="1"/>
    <col min="8" max="8" width="26.375" customWidth="1"/>
    <col min="9" max="9" width="2.875" customWidth="1"/>
    <col min="11" max="11" width="7.25" customWidth="1"/>
    <col min="14" max="14" width="19" bestFit="1" customWidth="1"/>
    <col min="15" max="15" width="12.875" bestFit="1" customWidth="1"/>
    <col min="16" max="16" width="19" bestFit="1" customWidth="1"/>
    <col min="17" max="17" width="8.5" bestFit="1" customWidth="1"/>
  </cols>
  <sheetData>
    <row r="1" spans="1:13" ht="16.5" customHeight="1" thickBot="1" x14ac:dyDescent="0.55000000000000004">
      <c r="A1" s="47"/>
      <c r="C1" s="16" t="s">
        <v>1140</v>
      </c>
      <c r="D1" s="16" t="s">
        <v>1017</v>
      </c>
      <c r="E1" s="15" t="s">
        <v>1141</v>
      </c>
      <c r="F1" s="47"/>
      <c r="G1" s="55" t="s">
        <v>1142</v>
      </c>
      <c r="H1" s="57" t="s">
        <v>1143</v>
      </c>
      <c r="I1" s="47"/>
      <c r="J1" s="47"/>
      <c r="K1" s="47"/>
      <c r="L1" s="47"/>
    </row>
    <row r="2" spans="1:13" ht="16.5" customHeight="1" thickBot="1" x14ac:dyDescent="0.55000000000000004">
      <c r="A2" s="47"/>
      <c r="B2" s="13" t="s">
        <v>1130</v>
      </c>
      <c r="C2" s="17" t="s">
        <v>4</v>
      </c>
      <c r="D2" s="17" t="str">
        <f>_xlfn.XLOOKUP(C2,sp500_[Security],sp500_[Symbol],"NaN")</f>
        <v>MMM</v>
      </c>
      <c r="E2" s="24">
        <v>0.1</v>
      </c>
      <c r="F2" s="47"/>
      <c r="G2" s="56"/>
      <c r="H2" s="58"/>
      <c r="I2" s="47"/>
      <c r="J2" s="47"/>
      <c r="K2" s="47"/>
      <c r="L2" s="47"/>
    </row>
    <row r="3" spans="1:13" ht="15.75" customHeight="1" x14ac:dyDescent="0.5">
      <c r="A3" s="47"/>
      <c r="B3" s="4" t="s">
        <v>1131</v>
      </c>
      <c r="C3" s="18" t="s">
        <v>50</v>
      </c>
      <c r="D3" s="18" t="str">
        <f>_xlfn.XLOOKUP(C3,sp500_[Security],sp500_[Symbol],"NaN")</f>
        <v>GOOGL</v>
      </c>
      <c r="E3" s="25">
        <v>0.1</v>
      </c>
      <c r="F3" s="47"/>
      <c r="G3" s="21" t="s">
        <v>1144</v>
      </c>
      <c r="H3" s="40">
        <f>AVERAGE('PORTFOLIO DATA'!$B:$B)</f>
        <v>8.5214428412816109E-4</v>
      </c>
      <c r="I3" s="47"/>
      <c r="J3" s="47"/>
      <c r="K3" s="47"/>
      <c r="L3" s="47"/>
    </row>
    <row r="4" spans="1:13" ht="16.5" customHeight="1" x14ac:dyDescent="0.5">
      <c r="A4" s="47"/>
      <c r="B4" s="14" t="s">
        <v>1132</v>
      </c>
      <c r="C4" s="19" t="s">
        <v>244</v>
      </c>
      <c r="D4" s="19" t="str">
        <f>_xlfn.XLOOKUP(C4,sp500_[Security],sp500_[Symbol],"NaN")</f>
        <v>KO</v>
      </c>
      <c r="E4" s="26">
        <v>0.05</v>
      </c>
      <c r="F4" s="47"/>
      <c r="G4" s="11" t="s">
        <v>1145</v>
      </c>
      <c r="H4" s="41">
        <f>_xlfn.STDEV.P('PORTFOLIO DATA'!$B:$B)</f>
        <v>8.4770784479156428E-3</v>
      </c>
      <c r="I4" s="47"/>
      <c r="J4" s="47"/>
      <c r="K4" s="47"/>
      <c r="L4" s="47"/>
    </row>
    <row r="5" spans="1:13" ht="15.75" customHeight="1" x14ac:dyDescent="0.5">
      <c r="A5" s="47"/>
      <c r="B5" s="4" t="s">
        <v>1133</v>
      </c>
      <c r="C5" s="18" t="s">
        <v>476</v>
      </c>
      <c r="D5" s="18" t="str">
        <f>_xlfn.XLOOKUP(C5,sp500_[Security],sp500_[Symbol],"NaN")</f>
        <v>HPE</v>
      </c>
      <c r="E5" s="25">
        <v>0.15</v>
      </c>
      <c r="F5" s="47"/>
      <c r="G5" s="22" t="s">
        <v>1146</v>
      </c>
      <c r="H5" s="39">
        <f>_xlfn.COVARIANCE.P('PORTFOLIO DATA'!B:B, 'PRICE SP500'!B:B) / _xlfn.VAR.P('PRICE SP500'!B:B)</f>
        <v>0.72665258028882873</v>
      </c>
      <c r="I5" s="47"/>
      <c r="J5" s="47"/>
      <c r="K5" s="47"/>
      <c r="L5" s="47"/>
    </row>
    <row r="6" spans="1:13" ht="16.5" customHeight="1" x14ac:dyDescent="0.5">
      <c r="A6" s="47"/>
      <c r="B6" s="14" t="s">
        <v>1134</v>
      </c>
      <c r="C6" s="19" t="s">
        <v>628</v>
      </c>
      <c r="D6" s="19" t="str">
        <f>_xlfn.XLOOKUP(C6,sp500_[Security],sp500_[Symbol],"NaN")</f>
        <v>MCD</v>
      </c>
      <c r="E6" s="26">
        <v>0.4</v>
      </c>
      <c r="F6" s="47"/>
      <c r="G6" s="11" t="s">
        <v>1147</v>
      </c>
      <c r="H6" s="41">
        <f>MAX('PORTFOLIO DATA'!$B:$B)</f>
        <v>3.1977098578691701E-2</v>
      </c>
      <c r="I6" s="47"/>
      <c r="J6" s="47"/>
      <c r="K6" s="47"/>
      <c r="L6" s="47"/>
    </row>
    <row r="7" spans="1:13" x14ac:dyDescent="0.5">
      <c r="A7" s="47"/>
      <c r="B7" s="4" t="s">
        <v>1135</v>
      </c>
      <c r="C7" s="18" t="s">
        <v>458</v>
      </c>
      <c r="D7" s="18" t="str">
        <f>_xlfn.XLOOKUP(C7,sp500_[Security],sp500_[Symbol],"NaN")</f>
        <v>GS</v>
      </c>
      <c r="E7" s="25">
        <v>0.1</v>
      </c>
      <c r="F7" s="47"/>
      <c r="G7" s="22" t="s">
        <v>1148</v>
      </c>
      <c r="H7" s="39">
        <f>MIN('PORTFOLIO DATA'!$B:$B)</f>
        <v>-3.0803614177497399E-2</v>
      </c>
      <c r="I7" s="47"/>
      <c r="J7" s="47"/>
      <c r="K7" s="47"/>
      <c r="L7" s="47"/>
    </row>
    <row r="8" spans="1:13" ht="16.149999999999999" thickBot="1" x14ac:dyDescent="0.55000000000000004">
      <c r="A8" s="47"/>
      <c r="B8" s="14" t="s">
        <v>1136</v>
      </c>
      <c r="C8" s="19" t="s">
        <v>963</v>
      </c>
      <c r="D8" s="19" t="str">
        <f>_xlfn.XLOOKUP(C8,sp500_[Security],sp500_[Symbol],"NaN")</f>
        <v>V</v>
      </c>
      <c r="E8" s="26">
        <v>0.1</v>
      </c>
      <c r="F8" s="47"/>
      <c r="G8" s="12" t="s">
        <v>1149</v>
      </c>
      <c r="H8" s="42">
        <f>(H3 - K10)/H4</f>
        <v>9.1161030243042507E-2</v>
      </c>
      <c r="I8" s="47"/>
      <c r="J8" s="47"/>
      <c r="K8" s="47"/>
      <c r="L8" s="47"/>
    </row>
    <row r="9" spans="1:13" ht="16.149999999999999" thickBot="1" x14ac:dyDescent="0.55000000000000004">
      <c r="A9" s="47"/>
      <c r="B9" s="4" t="s">
        <v>1137</v>
      </c>
      <c r="C9" s="18" t="s">
        <v>24</v>
      </c>
      <c r="D9" s="18" t="str">
        <f>_xlfn.XLOOKUP(C9,sp500_[Security],sp500_[Symbol],"NaN")</f>
        <v>AFL</v>
      </c>
      <c r="E9" s="25">
        <v>0</v>
      </c>
      <c r="F9" s="47"/>
      <c r="G9" s="47"/>
      <c r="H9" s="47"/>
      <c r="I9" s="47"/>
      <c r="J9" s="47"/>
      <c r="K9" s="47"/>
      <c r="L9" s="47"/>
    </row>
    <row r="10" spans="1:13" ht="16.149999999999999" thickBot="1" x14ac:dyDescent="0.55000000000000004">
      <c r="A10" s="47"/>
      <c r="B10" s="14" t="s">
        <v>1138</v>
      </c>
      <c r="C10" s="19" t="s">
        <v>9</v>
      </c>
      <c r="D10" s="19" t="str">
        <f>_xlfn.XLOOKUP(C10,sp500_[Security],sp500_[Symbol],"NaN")</f>
        <v>ABT</v>
      </c>
      <c r="E10" s="26">
        <v>0</v>
      </c>
      <c r="F10" s="47"/>
      <c r="G10" s="33" t="s">
        <v>1154</v>
      </c>
      <c r="H10" s="34" cm="1">
        <f t="array" ref="H10" xml:space="preserve"> (INDEX('PORTFOLIO DATA'!F:F, COUNTA('PRICE DATA'!F:F)) - 'PORTFOLIO DATA'!$F$2) / 'PORTFOLIO DATA'!$F$2</f>
        <v>0.18666974791457563</v>
      </c>
      <c r="I10" s="47"/>
      <c r="J10" s="37" t="s">
        <v>1156</v>
      </c>
      <c r="K10" s="38">
        <f>0.02/252</f>
        <v>7.9365079365079365E-5</v>
      </c>
      <c r="L10" s="47"/>
    </row>
    <row r="11" spans="1:13" ht="16.5" customHeight="1" thickBot="1" x14ac:dyDescent="0.55000000000000004">
      <c r="A11" s="47"/>
      <c r="B11" s="5" t="s">
        <v>1139</v>
      </c>
      <c r="C11" s="20" t="s">
        <v>17</v>
      </c>
      <c r="D11" s="20" t="str">
        <f>_xlfn.XLOOKUP(C11,sp500_[Security],sp500_[Symbol],"NaN")</f>
        <v>ADBE</v>
      </c>
      <c r="E11" s="27">
        <v>0</v>
      </c>
      <c r="F11" s="47"/>
      <c r="G11" s="35" t="s">
        <v>1155</v>
      </c>
      <c r="H11" s="36" cm="1">
        <f t="array" ref="H11" xml:space="preserve"> (INDEX('PRICE SP500'!F:F, COUNTA('PRICE SP500'!F:F)) - 'PRICE SP500'!$F$2) / 'PRICE SP500'!$F$2</f>
        <v>0.2475686026687165</v>
      </c>
      <c r="I11" s="47"/>
      <c r="J11" s="47"/>
      <c r="K11" s="47"/>
      <c r="L11" s="47"/>
    </row>
    <row r="12" spans="1:13" ht="16.5" customHeight="1" thickBot="1" x14ac:dyDescent="0.75">
      <c r="A12" s="47"/>
      <c r="B12" s="47"/>
      <c r="C12" s="47"/>
      <c r="D12" s="47"/>
      <c r="E12" s="47"/>
      <c r="F12" s="47"/>
      <c r="G12" s="48"/>
      <c r="H12" s="47"/>
      <c r="I12" s="47"/>
      <c r="J12" s="47"/>
      <c r="K12" s="47"/>
      <c r="L12" s="47"/>
    </row>
    <row r="13" spans="1:13" ht="16.149999999999999" thickBot="1" x14ac:dyDescent="0.55000000000000004">
      <c r="A13" s="47"/>
      <c r="B13" s="30" t="s">
        <v>1083</v>
      </c>
      <c r="C13" s="32" t="s">
        <v>1151</v>
      </c>
      <c r="D13" s="47"/>
      <c r="E13" s="47"/>
      <c r="F13" s="47"/>
      <c r="G13" s="47"/>
      <c r="H13" s="47"/>
      <c r="I13" s="47"/>
      <c r="J13" s="47"/>
      <c r="K13" s="47"/>
      <c r="L13" s="47"/>
    </row>
    <row r="14" spans="1:13" x14ac:dyDescent="0.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</row>
    <row r="15" spans="1:13" x14ac:dyDescent="0.5">
      <c r="A15" s="47"/>
      <c r="B15" s="23"/>
      <c r="C15" s="23"/>
      <c r="D15" s="23"/>
      <c r="E15" s="23"/>
      <c r="F15" s="47"/>
      <c r="G15" s="47"/>
      <c r="H15" s="47"/>
      <c r="I15" s="47"/>
      <c r="J15" s="47"/>
      <c r="K15" s="47"/>
      <c r="L15" s="47"/>
      <c r="M15" s="31"/>
    </row>
    <row r="16" spans="1:13" x14ac:dyDescent="0.5">
      <c r="A16" s="47"/>
      <c r="B16" s="23"/>
      <c r="C16" s="23"/>
      <c r="D16" s="23"/>
      <c r="E16" s="23"/>
      <c r="F16" s="47"/>
      <c r="G16" s="47"/>
      <c r="H16" s="47"/>
      <c r="I16" s="47"/>
      <c r="J16" s="47"/>
      <c r="K16" s="47"/>
      <c r="L16" s="47"/>
    </row>
    <row r="17" spans="1:12" x14ac:dyDescent="0.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</row>
    <row r="18" spans="1:12" x14ac:dyDescent="0.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</row>
    <row r="19" spans="1:12" x14ac:dyDescent="0.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</row>
    <row r="20" spans="1:12" x14ac:dyDescent="0.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x14ac:dyDescent="0.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x14ac:dyDescent="0.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x14ac:dyDescent="0.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</row>
    <row r="24" spans="1:12" x14ac:dyDescent="0.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</row>
    <row r="25" spans="1:12" x14ac:dyDescent="0.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</row>
    <row r="26" spans="1:12" x14ac:dyDescent="0.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</row>
    <row r="27" spans="1:12" x14ac:dyDescent="0.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</row>
    <row r="28" spans="1:12" x14ac:dyDescent="0.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</row>
    <row r="29" spans="1:12" x14ac:dyDescent="0.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</row>
    <row r="30" spans="1:12" x14ac:dyDescent="0.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</row>
    <row r="31" spans="1:12" x14ac:dyDescent="0.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</row>
    <row r="32" spans="1:12" x14ac:dyDescent="0.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</row>
    <row r="33" spans="1:12" x14ac:dyDescent="0.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</row>
    <row r="34" spans="1:12" x14ac:dyDescent="0.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</row>
    <row r="35" spans="1:12" x14ac:dyDescent="0.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</row>
    <row r="36" spans="1:12" x14ac:dyDescent="0.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</row>
    <row r="37" spans="1:12" x14ac:dyDescent="0.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</row>
    <row r="38" spans="1:12" x14ac:dyDescent="0.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</row>
    <row r="39" spans="1:12" x14ac:dyDescent="0.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</row>
    <row r="40" spans="1:12" x14ac:dyDescent="0.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</row>
    <row r="41" spans="1:12" x14ac:dyDescent="0.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</row>
    <row r="42" spans="1:12" x14ac:dyDescent="0.5">
      <c r="A42" s="47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</row>
    <row r="43" spans="1:12" x14ac:dyDescent="0.5">
      <c r="A43" s="47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</row>
    <row r="44" spans="1:12" x14ac:dyDescent="0.5">
      <c r="A44" s="47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</row>
    <row r="45" spans="1:12" x14ac:dyDescent="0.5">
      <c r="A45" s="47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</row>
    <row r="46" spans="1:12" x14ac:dyDescent="0.5">
      <c r="A46" s="47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</row>
    <row r="47" spans="1:12" x14ac:dyDescent="0.5">
      <c r="A47" s="47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</row>
    <row r="48" spans="1:12" x14ac:dyDescent="0.5">
      <c r="A48" s="47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</row>
    <row r="49" spans="1:12" x14ac:dyDescent="0.5">
      <c r="A49" s="47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</row>
    <row r="50" spans="1:12" x14ac:dyDescent="0.5">
      <c r="A50" s="47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</row>
  </sheetData>
  <mergeCells count="2">
    <mergeCell ref="G1:G2"/>
    <mergeCell ref="H1:H2"/>
  </mergeCells>
  <phoneticPr fontId="3" type="noConversion"/>
  <dataValidations count="1">
    <dataValidation type="list" allowBlank="1" showInputMessage="1" showErrorMessage="1" sqref="C13" xr:uid="{4DA50AE7-7C38-4E84-ABF2-0DC8E9F7397D}">
      <formula1>"5d, 1mo, 3mo, 6mo, 1y, 2y, 5y, 10y, ytd"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GET_DATA">
          <controlPr defaultSize="0" autoLine="0" autoPict="0" r:id="rId4">
            <anchor moveWithCells="1">
              <from>
                <xdr:col>2</xdr:col>
                <xdr:colOff>2047875</xdr:colOff>
                <xdr:row>13</xdr:row>
                <xdr:rowOff>171450</xdr:rowOff>
              </from>
              <to>
                <xdr:col>5</xdr:col>
                <xdr:colOff>19050</xdr:colOff>
                <xdr:row>16</xdr:row>
                <xdr:rowOff>38100</xdr:rowOff>
              </to>
            </anchor>
          </controlPr>
        </control>
      </mc:Choice>
      <mc:Fallback>
        <control shapeId="2051" r:id="rId3" name="GET_DATA"/>
      </mc:Fallback>
    </mc:AlternateContent>
    <mc:AlternateContent xmlns:mc="http://schemas.openxmlformats.org/markup-compatibility/2006">
      <mc:Choice Requires="x14">
        <control shapeId="2055" r:id="rId5" name="Button 7">
          <controlPr defaultSize="0" print="0" autoFill="0" autoPict="0" macro="[0]!portfolio_creation">
            <anchor moveWithCells="1">
              <from>
                <xdr:col>0</xdr:col>
                <xdr:colOff>290513</xdr:colOff>
                <xdr:row>13</xdr:row>
                <xdr:rowOff>147638</xdr:rowOff>
              </from>
              <to>
                <xdr:col>5</xdr:col>
                <xdr:colOff>85725</xdr:colOff>
                <xdr:row>16</xdr:row>
                <xdr:rowOff>47625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D6AC564-CDB7-4A73-8089-1363B79CA468}">
          <x14:formula1>
            <xm:f>'sp500'!$B$2:$B$504</xm:f>
          </x14:formula1>
          <xm:sqref>C2:C11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633C0-618E-46E4-91A3-BDC7F874548D}">
  <sheetPr codeName="Sheet8"/>
  <dimension ref="A1:I502"/>
  <sheetViews>
    <sheetView workbookViewId="0">
      <selection activeCell="L17" sqref="L17"/>
    </sheetView>
  </sheetViews>
  <sheetFormatPr defaultRowHeight="15.75" x14ac:dyDescent="0.5"/>
  <cols>
    <col min="1" max="1" width="7.9375" bestFit="1" customWidth="1"/>
    <col min="2" max="2" width="12.3125" bestFit="1" customWidth="1"/>
    <col min="3" max="6" width="11.6875" bestFit="1" customWidth="1"/>
    <col min="7" max="7" width="10.6875" bestFit="1" customWidth="1"/>
    <col min="8" max="8" width="9.6875" bestFit="1" customWidth="1"/>
    <col min="9" max="9" width="9.9375" bestFit="1" customWidth="1"/>
  </cols>
  <sheetData>
    <row r="1" spans="1:9" x14ac:dyDescent="0.5">
      <c r="A1" t="s">
        <v>1117</v>
      </c>
      <c r="B1" t="s">
        <v>1150</v>
      </c>
      <c r="C1" t="s">
        <v>1118</v>
      </c>
      <c r="D1" t="s">
        <v>1119</v>
      </c>
      <c r="E1" t="s">
        <v>1120</v>
      </c>
      <c r="F1" t="s">
        <v>1121</v>
      </c>
      <c r="G1" t="s">
        <v>1122</v>
      </c>
      <c r="H1" t="s">
        <v>1123</v>
      </c>
      <c r="I1" t="s">
        <v>1124</v>
      </c>
    </row>
    <row r="2" spans="1:9" x14ac:dyDescent="0.5">
      <c r="A2" s="1">
        <v>45300</v>
      </c>
      <c r="B2">
        <v>-1.4153197795343801E-2</v>
      </c>
      <c r="C2">
        <v>205.52578077299299</v>
      </c>
      <c r="D2">
        <v>206.741274287935</v>
      </c>
      <c r="E2">
        <v>204.140019531147</v>
      </c>
      <c r="F2">
        <v>206.311348628997</v>
      </c>
      <c r="G2">
        <v>10366551.800000001</v>
      </c>
      <c r="H2">
        <v>0</v>
      </c>
      <c r="I2">
        <v>0</v>
      </c>
    </row>
    <row r="3" spans="1:9" x14ac:dyDescent="0.5">
      <c r="A3" s="1">
        <v>45301</v>
      </c>
      <c r="B3">
        <v>7.50350808299775E-3</v>
      </c>
      <c r="C3">
        <v>206.29584719588601</v>
      </c>
      <c r="D3">
        <v>208.10357292103501</v>
      </c>
      <c r="E3">
        <v>205.627106546628</v>
      </c>
      <c r="F3">
        <v>207.643748044967</v>
      </c>
      <c r="G3">
        <v>7985586.0999999996</v>
      </c>
      <c r="H3">
        <v>0</v>
      </c>
      <c r="I3">
        <v>0</v>
      </c>
    </row>
    <row r="4" spans="1:9" x14ac:dyDescent="0.5">
      <c r="A4" s="1">
        <v>45302</v>
      </c>
      <c r="B4">
        <v>-1.1370887210111801E-3</v>
      </c>
      <c r="C4">
        <v>207.886862219639</v>
      </c>
      <c r="D4">
        <v>208.40978746648801</v>
      </c>
      <c r="E4">
        <v>205.056318137674</v>
      </c>
      <c r="F4">
        <v>207.40039601325901</v>
      </c>
      <c r="G4">
        <v>7007561.7000000002</v>
      </c>
      <c r="H4">
        <v>0</v>
      </c>
      <c r="I4">
        <v>0</v>
      </c>
    </row>
    <row r="5" spans="1:9" x14ac:dyDescent="0.5">
      <c r="A5" s="1">
        <v>45303</v>
      </c>
      <c r="B5">
        <v>-5.6450676861941997E-3</v>
      </c>
      <c r="C5">
        <v>208.49660333856301</v>
      </c>
      <c r="D5">
        <v>209.03738650274499</v>
      </c>
      <c r="E5">
        <v>206.35880511305399</v>
      </c>
      <c r="F5">
        <v>206.900972318649</v>
      </c>
      <c r="G5">
        <v>6240027.5999999996</v>
      </c>
      <c r="H5">
        <v>0</v>
      </c>
      <c r="I5">
        <v>0</v>
      </c>
    </row>
    <row r="6" spans="1:9" x14ac:dyDescent="0.5">
      <c r="A6" s="1">
        <v>45307</v>
      </c>
      <c r="B6">
        <v>-8.4865613189485292E-3</v>
      </c>
      <c r="C6">
        <v>206.74521306702201</v>
      </c>
      <c r="D6">
        <v>208.19503285356299</v>
      </c>
      <c r="E6">
        <v>204.64273072489701</v>
      </c>
      <c r="F6">
        <v>206.17801437377901</v>
      </c>
      <c r="G6">
        <v>8297693.4000000004</v>
      </c>
      <c r="H6">
        <v>0</v>
      </c>
      <c r="I6">
        <v>0</v>
      </c>
    </row>
    <row r="7" spans="1:9" x14ac:dyDescent="0.5">
      <c r="A7" s="1">
        <v>45308</v>
      </c>
      <c r="B7">
        <v>-5.0496657451146402E-3</v>
      </c>
      <c r="C7">
        <v>205.00064597147599</v>
      </c>
      <c r="D7">
        <v>206.76079913040999</v>
      </c>
      <c r="E7">
        <v>204.50038149389101</v>
      </c>
      <c r="F7">
        <v>205.75508756637501</v>
      </c>
      <c r="G7">
        <v>6438329.2000000002</v>
      </c>
      <c r="H7">
        <v>0</v>
      </c>
      <c r="I7">
        <v>0</v>
      </c>
    </row>
    <row r="8" spans="1:9" x14ac:dyDescent="0.5">
      <c r="A8" s="1">
        <v>45309</v>
      </c>
      <c r="B8">
        <v>5.9948607506776098E-3</v>
      </c>
      <c r="C8">
        <v>206.62017203782599</v>
      </c>
      <c r="D8">
        <v>208.060158392684</v>
      </c>
      <c r="E8">
        <v>205.45560532149401</v>
      </c>
      <c r="F8">
        <v>207.36209740638699</v>
      </c>
      <c r="G8">
        <v>7393659.7999999998</v>
      </c>
      <c r="H8">
        <v>0</v>
      </c>
      <c r="I8">
        <v>0</v>
      </c>
    </row>
    <row r="9" spans="1:9" x14ac:dyDescent="0.5">
      <c r="A9" s="1">
        <v>45310</v>
      </c>
      <c r="B9">
        <v>1.7915153705273301E-2</v>
      </c>
      <c r="C9">
        <v>208.943549579104</v>
      </c>
      <c r="D9">
        <v>211.454234400714</v>
      </c>
      <c r="E9">
        <v>207.57773616108599</v>
      </c>
      <c r="F9">
        <v>211.01961708068799</v>
      </c>
      <c r="G9">
        <v>9097177.1999999993</v>
      </c>
      <c r="H9">
        <v>0</v>
      </c>
      <c r="I9">
        <v>0</v>
      </c>
    </row>
    <row r="10" spans="1:9" x14ac:dyDescent="0.5">
      <c r="A10" s="1">
        <v>45313</v>
      </c>
      <c r="B10">
        <v>-7.0090646360836898E-4</v>
      </c>
      <c r="C10">
        <v>211.870534432391</v>
      </c>
      <c r="D10">
        <v>213.31031141982899</v>
      </c>
      <c r="E10">
        <v>210.00358488940299</v>
      </c>
      <c r="F10">
        <v>210.57398896217299</v>
      </c>
      <c r="G10">
        <v>8126660.5999999996</v>
      </c>
      <c r="H10">
        <v>0</v>
      </c>
      <c r="I10">
        <v>0</v>
      </c>
    </row>
    <row r="11" spans="1:9" x14ac:dyDescent="0.5">
      <c r="A11" s="1">
        <v>45314</v>
      </c>
      <c r="B11">
        <v>-9.2050059686706407E-3</v>
      </c>
      <c r="C11">
        <v>209.06633190287201</v>
      </c>
      <c r="D11">
        <v>210.679809716248</v>
      </c>
      <c r="E11">
        <v>208.033529937559</v>
      </c>
      <c r="F11">
        <v>209.864971208572</v>
      </c>
      <c r="G11">
        <v>9120348.5999999996</v>
      </c>
      <c r="H11">
        <v>0</v>
      </c>
      <c r="I11">
        <v>0</v>
      </c>
    </row>
    <row r="12" spans="1:9" x14ac:dyDescent="0.5">
      <c r="A12" s="1">
        <v>45315</v>
      </c>
      <c r="B12">
        <v>1.87632827861033E-4</v>
      </c>
      <c r="C12">
        <v>210.28750331128501</v>
      </c>
      <c r="D12">
        <v>211.60864763900901</v>
      </c>
      <c r="E12">
        <v>209.195466206584</v>
      </c>
      <c r="F12">
        <v>209.847633218765</v>
      </c>
      <c r="G12">
        <v>8176110.4000000004</v>
      </c>
      <c r="H12">
        <v>0</v>
      </c>
      <c r="I12">
        <v>0</v>
      </c>
    </row>
    <row r="13" spans="1:9" x14ac:dyDescent="0.5">
      <c r="A13" s="1">
        <v>45316</v>
      </c>
      <c r="B13">
        <v>3.7282866532574398E-3</v>
      </c>
      <c r="C13">
        <v>210.52530039330699</v>
      </c>
      <c r="D13">
        <v>211.753042683394</v>
      </c>
      <c r="E13">
        <v>208.42044452122599</v>
      </c>
      <c r="F13">
        <v>209.5718916893</v>
      </c>
      <c r="G13">
        <v>8293873.7999999998</v>
      </c>
      <c r="H13">
        <v>0</v>
      </c>
      <c r="I13">
        <v>0</v>
      </c>
    </row>
    <row r="14" spans="1:9" x14ac:dyDescent="0.5">
      <c r="A14" s="1">
        <v>45317</v>
      </c>
      <c r="B14" s="28">
        <v>-1.0013168175197E-2</v>
      </c>
      <c r="C14">
        <v>207.716939738842</v>
      </c>
      <c r="D14">
        <v>208.90030812804</v>
      </c>
      <c r="E14">
        <v>205.99302758569701</v>
      </c>
      <c r="F14">
        <v>206.712294197082</v>
      </c>
      <c r="G14">
        <v>7511985.9000000004</v>
      </c>
      <c r="H14">
        <v>0</v>
      </c>
      <c r="I14">
        <v>0</v>
      </c>
    </row>
    <row r="15" spans="1:9" x14ac:dyDescent="0.5">
      <c r="A15" s="1">
        <v>45320</v>
      </c>
      <c r="B15">
        <v>4.13448183666281E-3</v>
      </c>
      <c r="C15">
        <v>206.15762561017999</v>
      </c>
      <c r="D15">
        <v>208.16755134651601</v>
      </c>
      <c r="E15">
        <v>204.529646930333</v>
      </c>
      <c r="F15">
        <v>207.747427845001</v>
      </c>
      <c r="G15">
        <v>7434535</v>
      </c>
      <c r="H15">
        <v>0</v>
      </c>
      <c r="I15">
        <v>0</v>
      </c>
    </row>
    <row r="16" spans="1:9" x14ac:dyDescent="0.5">
      <c r="A16" s="1">
        <v>45321</v>
      </c>
      <c r="B16">
        <v>5.1431132068121598E-3</v>
      </c>
      <c r="C16">
        <v>208.05353084924701</v>
      </c>
      <c r="D16">
        <v>210.05362745396999</v>
      </c>
      <c r="E16">
        <v>206.69006621133099</v>
      </c>
      <c r="F16">
        <v>209.39892859458899</v>
      </c>
      <c r="G16">
        <v>8154464.7999999998</v>
      </c>
      <c r="H16">
        <v>0</v>
      </c>
      <c r="I16">
        <v>0</v>
      </c>
    </row>
    <row r="17" spans="1:9" x14ac:dyDescent="0.5">
      <c r="A17" s="1">
        <v>45322</v>
      </c>
      <c r="B17">
        <v>-1.9731509277964399E-2</v>
      </c>
      <c r="C17">
        <v>209.012146900126</v>
      </c>
      <c r="D17">
        <v>210.735109754679</v>
      </c>
      <c r="E17">
        <v>206.083857555311</v>
      </c>
      <c r="F17">
        <v>206.61996178627001</v>
      </c>
      <c r="G17">
        <v>13844733.300000001</v>
      </c>
      <c r="H17">
        <v>0</v>
      </c>
      <c r="I17">
        <v>0</v>
      </c>
    </row>
    <row r="18" spans="1:9" x14ac:dyDescent="0.5">
      <c r="A18" s="1">
        <v>45323</v>
      </c>
      <c r="B18">
        <v>1.30187158096133E-2</v>
      </c>
      <c r="C18">
        <v>206.48908591233399</v>
      </c>
      <c r="D18">
        <v>210.19687676929601</v>
      </c>
      <c r="E18">
        <v>205.165775260755</v>
      </c>
      <c r="F18">
        <v>209.40237164497299</v>
      </c>
      <c r="G18">
        <v>8632277.0999999996</v>
      </c>
      <c r="H18">
        <v>0</v>
      </c>
      <c r="I18">
        <v>0</v>
      </c>
    </row>
    <row r="19" spans="1:9" x14ac:dyDescent="0.5">
      <c r="A19" s="1">
        <v>45324</v>
      </c>
      <c r="B19">
        <v>-3.83193072028026E-4</v>
      </c>
      <c r="C19">
        <v>208.21451456255801</v>
      </c>
      <c r="D19">
        <v>210.18520298978501</v>
      </c>
      <c r="E19">
        <v>206.42420323568001</v>
      </c>
      <c r="F19">
        <v>209.42693967819201</v>
      </c>
      <c r="G19">
        <v>10954168</v>
      </c>
      <c r="H19">
        <v>0</v>
      </c>
      <c r="I19">
        <v>0</v>
      </c>
    </row>
    <row r="20" spans="1:9" x14ac:dyDescent="0.5">
      <c r="A20" s="1">
        <v>45327</v>
      </c>
      <c r="B20">
        <v>-1.9766172499435099E-2</v>
      </c>
      <c r="C20">
        <v>205.153975190083</v>
      </c>
      <c r="D20">
        <v>207.30000276944301</v>
      </c>
      <c r="E20">
        <v>202.952699717831</v>
      </c>
      <c r="F20">
        <v>204.35203814506499</v>
      </c>
      <c r="G20">
        <v>10054232.199999999</v>
      </c>
      <c r="H20">
        <v>0</v>
      </c>
      <c r="I20">
        <v>0</v>
      </c>
    </row>
    <row r="21" spans="1:9" x14ac:dyDescent="0.5">
      <c r="A21" s="1">
        <v>45328</v>
      </c>
      <c r="B21">
        <v>4.1602890031401901E-4</v>
      </c>
      <c r="C21">
        <v>203.187934142106</v>
      </c>
      <c r="D21">
        <v>204.637615735878</v>
      </c>
      <c r="E21">
        <v>202.359346946144</v>
      </c>
      <c r="F21">
        <v>204.264704847335</v>
      </c>
      <c r="G21">
        <v>8442908.5999999996</v>
      </c>
      <c r="H21">
        <v>0</v>
      </c>
      <c r="I21">
        <v>0</v>
      </c>
    </row>
    <row r="22" spans="1:9" x14ac:dyDescent="0.5">
      <c r="A22" s="1">
        <v>45329</v>
      </c>
      <c r="B22">
        <v>6.0800255868380402E-3</v>
      </c>
      <c r="C22">
        <v>204.861406058277</v>
      </c>
      <c r="D22">
        <v>207.31033191477201</v>
      </c>
      <c r="E22">
        <v>203.770768472149</v>
      </c>
      <c r="F22">
        <v>205.89248056411699</v>
      </c>
      <c r="G22">
        <v>7449510.5999999996</v>
      </c>
      <c r="H22">
        <v>0</v>
      </c>
      <c r="I22">
        <v>0</v>
      </c>
    </row>
    <row r="23" spans="1:9" x14ac:dyDescent="0.5">
      <c r="A23" s="1">
        <v>45330</v>
      </c>
      <c r="B23">
        <v>6.6747924321088302E-3</v>
      </c>
      <c r="C23">
        <v>205.49971643756299</v>
      </c>
      <c r="D23">
        <v>208.559632607569</v>
      </c>
      <c r="E23">
        <v>203.61185989588901</v>
      </c>
      <c r="F23">
        <v>207.24510483741699</v>
      </c>
      <c r="G23">
        <v>7199885.2999999998</v>
      </c>
      <c r="H23">
        <v>5.1999999999999998E-2</v>
      </c>
      <c r="I23">
        <v>0</v>
      </c>
    </row>
    <row r="24" spans="1:9" x14ac:dyDescent="0.5">
      <c r="A24" s="1">
        <v>45331</v>
      </c>
      <c r="B24">
        <v>-1.9609206193606098E-3</v>
      </c>
      <c r="C24">
        <v>207.27915531442201</v>
      </c>
      <c r="D24">
        <v>208.07431474767299</v>
      </c>
      <c r="E24">
        <v>205.55677670162299</v>
      </c>
      <c r="F24">
        <v>206.53420834541299</v>
      </c>
      <c r="G24">
        <v>6863234.4000000004</v>
      </c>
      <c r="H24">
        <v>0</v>
      </c>
      <c r="I24">
        <v>0</v>
      </c>
    </row>
    <row r="25" spans="1:9" x14ac:dyDescent="0.5">
      <c r="A25" s="1">
        <v>45334</v>
      </c>
      <c r="B25">
        <v>3.90027839130389E-3</v>
      </c>
      <c r="C25">
        <v>206.38713940236599</v>
      </c>
      <c r="D25">
        <v>208.67871172036101</v>
      </c>
      <c r="E25">
        <v>205.86052303337601</v>
      </c>
      <c r="F25">
        <v>207.22909803390499</v>
      </c>
      <c r="G25">
        <v>5880102.2999999998</v>
      </c>
      <c r="H25">
        <v>0</v>
      </c>
      <c r="I25">
        <v>0</v>
      </c>
    </row>
    <row r="26" spans="1:9" x14ac:dyDescent="0.5">
      <c r="A26" s="1">
        <v>45335</v>
      </c>
      <c r="B26">
        <v>-1.4135065780687101E-2</v>
      </c>
      <c r="C26">
        <v>205.85486337496599</v>
      </c>
      <c r="D26">
        <v>207.22713142206501</v>
      </c>
      <c r="E26">
        <v>203.04035745492999</v>
      </c>
      <c r="F26">
        <v>204.553721952438</v>
      </c>
      <c r="G26">
        <v>7568053.7999999998</v>
      </c>
      <c r="H26">
        <v>0</v>
      </c>
      <c r="I26">
        <v>0</v>
      </c>
    </row>
    <row r="27" spans="1:9" x14ac:dyDescent="0.5">
      <c r="A27" s="1">
        <v>45336</v>
      </c>
      <c r="B27">
        <v>2.1655075232546298E-3</v>
      </c>
      <c r="C27">
        <v>205.045366895109</v>
      </c>
      <c r="D27">
        <v>205.70850119374299</v>
      </c>
      <c r="E27">
        <v>203.77278713648101</v>
      </c>
      <c r="F27">
        <v>205.13213591575601</v>
      </c>
      <c r="G27">
        <v>6714703.2000000002</v>
      </c>
      <c r="H27">
        <v>0</v>
      </c>
      <c r="I27">
        <v>0</v>
      </c>
    </row>
    <row r="28" spans="1:9" x14ac:dyDescent="0.5">
      <c r="A28" s="1">
        <v>45337</v>
      </c>
      <c r="B28">
        <v>8.1394135663760796E-3</v>
      </c>
      <c r="C28">
        <v>204.945062224906</v>
      </c>
      <c r="D28">
        <v>207.84840494606499</v>
      </c>
      <c r="E28">
        <v>204.32898085706799</v>
      </c>
      <c r="F28">
        <v>207.46199522018401</v>
      </c>
      <c r="G28">
        <v>7999159.0999999996</v>
      </c>
      <c r="H28">
        <v>0.12625420000000001</v>
      </c>
      <c r="I28">
        <v>0</v>
      </c>
    </row>
    <row r="29" spans="1:9" x14ac:dyDescent="0.5">
      <c r="A29" s="1">
        <v>45338</v>
      </c>
      <c r="B29">
        <v>-6.94766701383731E-3</v>
      </c>
      <c r="C29">
        <v>206.79201555264001</v>
      </c>
      <c r="D29">
        <v>208.43466768312601</v>
      </c>
      <c r="E29">
        <v>205.26078602003099</v>
      </c>
      <c r="F29">
        <v>206.82141809463499</v>
      </c>
      <c r="G29">
        <v>7923782.2000000002</v>
      </c>
      <c r="H29">
        <v>0</v>
      </c>
      <c r="I29">
        <v>0</v>
      </c>
    </row>
    <row r="30" spans="1:9" x14ac:dyDescent="0.5">
      <c r="A30" s="1">
        <v>45342</v>
      </c>
      <c r="B30">
        <v>2.6179041334971802E-3</v>
      </c>
      <c r="C30">
        <v>205.97417576407599</v>
      </c>
      <c r="D30">
        <v>208.48128384791599</v>
      </c>
      <c r="E30">
        <v>205.702428536935</v>
      </c>
      <c r="F30">
        <v>206.919684982299</v>
      </c>
      <c r="G30">
        <v>7153996.4000000004</v>
      </c>
      <c r="H30">
        <v>0</v>
      </c>
      <c r="I30">
        <v>0</v>
      </c>
    </row>
    <row r="31" spans="1:9" x14ac:dyDescent="0.5">
      <c r="A31" s="1">
        <v>45343</v>
      </c>
      <c r="B31">
        <v>3.6215457591350399E-3</v>
      </c>
      <c r="C31">
        <v>206.793086883244</v>
      </c>
      <c r="D31">
        <v>208.703305465114</v>
      </c>
      <c r="E31">
        <v>206.13717527393399</v>
      </c>
      <c r="F31">
        <v>208.08823189735401</v>
      </c>
      <c r="G31">
        <v>6159986.2999999998</v>
      </c>
      <c r="H31">
        <v>0</v>
      </c>
      <c r="I31">
        <v>0</v>
      </c>
    </row>
    <row r="32" spans="1:9" x14ac:dyDescent="0.5">
      <c r="A32" s="1">
        <v>45344</v>
      </c>
      <c r="B32">
        <v>9.0112933242576208E-3</v>
      </c>
      <c r="C32">
        <v>208.69036710057901</v>
      </c>
      <c r="D32">
        <v>210.96167518551701</v>
      </c>
      <c r="E32">
        <v>208.066276000832</v>
      </c>
      <c r="F32">
        <v>210.005464315414</v>
      </c>
      <c r="G32">
        <v>7447413.7000000002</v>
      </c>
      <c r="H32">
        <v>0</v>
      </c>
      <c r="I32">
        <v>0</v>
      </c>
    </row>
    <row r="33" spans="1:9" x14ac:dyDescent="0.5">
      <c r="A33" s="1">
        <v>45345</v>
      </c>
      <c r="B33">
        <v>3.2976061418241E-3</v>
      </c>
      <c r="C33">
        <v>210.061678434329</v>
      </c>
      <c r="D33">
        <v>212.116429342939</v>
      </c>
      <c r="E33">
        <v>209.41907224867299</v>
      </c>
      <c r="F33">
        <v>210.790648078918</v>
      </c>
      <c r="G33">
        <v>5906706.7000000002</v>
      </c>
      <c r="H33">
        <v>0</v>
      </c>
      <c r="I33">
        <v>0</v>
      </c>
    </row>
    <row r="34" spans="1:9" x14ac:dyDescent="0.5">
      <c r="A34" s="1">
        <v>45348</v>
      </c>
      <c r="B34">
        <v>-8.3114781735714998E-3</v>
      </c>
      <c r="C34">
        <v>210.70025641477901</v>
      </c>
      <c r="D34">
        <v>211.67095958287399</v>
      </c>
      <c r="E34">
        <v>209.13759194152999</v>
      </c>
      <c r="F34">
        <v>209.76678876876801</v>
      </c>
      <c r="G34">
        <v>10106438.800000001</v>
      </c>
      <c r="H34">
        <v>0</v>
      </c>
      <c r="I34">
        <v>0</v>
      </c>
    </row>
    <row r="35" spans="1:9" x14ac:dyDescent="0.5">
      <c r="A35" s="1">
        <v>45349</v>
      </c>
      <c r="B35">
        <v>-3.9487108780711499E-3</v>
      </c>
      <c r="C35">
        <v>209.90629178699601</v>
      </c>
      <c r="D35">
        <v>210.43685961428099</v>
      </c>
      <c r="E35">
        <v>207.80714658112001</v>
      </c>
      <c r="F35">
        <v>208.553203392028</v>
      </c>
      <c r="G35">
        <v>7206460.7000000002</v>
      </c>
      <c r="H35">
        <v>0</v>
      </c>
      <c r="I35">
        <v>0</v>
      </c>
    </row>
    <row r="36" spans="1:9" x14ac:dyDescent="0.5">
      <c r="A36" s="1">
        <v>45350</v>
      </c>
      <c r="B36">
        <v>1.17261249547492E-3</v>
      </c>
      <c r="C36">
        <v>208.338467269126</v>
      </c>
      <c r="D36">
        <v>210.25398387068799</v>
      </c>
      <c r="E36">
        <v>207.483099317605</v>
      </c>
      <c r="F36">
        <v>209.54609131813001</v>
      </c>
      <c r="G36">
        <v>7673608</v>
      </c>
      <c r="H36">
        <v>0.27500000000000002</v>
      </c>
      <c r="I36">
        <v>0</v>
      </c>
    </row>
    <row r="37" spans="1:9" x14ac:dyDescent="0.5">
      <c r="A37" s="1">
        <v>45351</v>
      </c>
      <c r="B37">
        <v>1.87999488613451E-3</v>
      </c>
      <c r="C37">
        <v>210.155678876129</v>
      </c>
      <c r="D37">
        <v>210.697559141319</v>
      </c>
      <c r="E37">
        <v>207.734885760059</v>
      </c>
      <c r="F37">
        <v>208.647404813766</v>
      </c>
      <c r="G37">
        <v>12257109.6</v>
      </c>
      <c r="H37">
        <v>0.66800000000000004</v>
      </c>
      <c r="I37">
        <v>0</v>
      </c>
    </row>
    <row r="38" spans="1:9" x14ac:dyDescent="0.5">
      <c r="A38" s="1">
        <v>45352</v>
      </c>
      <c r="B38">
        <v>-5.7504361080654696E-4</v>
      </c>
      <c r="C38">
        <v>208.29116003728001</v>
      </c>
      <c r="D38">
        <v>209.32130431818501</v>
      </c>
      <c r="E38">
        <v>206.73253812470799</v>
      </c>
      <c r="F38">
        <v>207.86415362357999</v>
      </c>
      <c r="G38">
        <v>10961857.800000001</v>
      </c>
      <c r="H38">
        <v>0</v>
      </c>
      <c r="I38">
        <v>0</v>
      </c>
    </row>
    <row r="39" spans="1:9" x14ac:dyDescent="0.5">
      <c r="A39" s="1">
        <v>45355</v>
      </c>
      <c r="B39">
        <v>1.2771493462704E-2</v>
      </c>
      <c r="C39">
        <v>207.17367318481999</v>
      </c>
      <c r="D39">
        <v>209.01375731802301</v>
      </c>
      <c r="E39">
        <v>205.67317486465399</v>
      </c>
      <c r="F39">
        <v>207.928789234161</v>
      </c>
      <c r="G39">
        <v>14872315.300000001</v>
      </c>
      <c r="H39">
        <v>0</v>
      </c>
      <c r="I39">
        <v>0</v>
      </c>
    </row>
    <row r="40" spans="1:9" x14ac:dyDescent="0.5">
      <c r="A40" s="1">
        <v>45356</v>
      </c>
      <c r="B40">
        <v>1.03719380087981E-2</v>
      </c>
      <c r="C40">
        <v>207.85365525073701</v>
      </c>
      <c r="D40">
        <v>209.82451844210499</v>
      </c>
      <c r="E40">
        <v>206.359248543109</v>
      </c>
      <c r="F40">
        <v>208.47408227920499</v>
      </c>
      <c r="G40">
        <v>13863083.6</v>
      </c>
      <c r="H40">
        <v>0</v>
      </c>
      <c r="I40">
        <v>0</v>
      </c>
    </row>
    <row r="41" spans="1:9" x14ac:dyDescent="0.5">
      <c r="A41" s="1">
        <v>45357</v>
      </c>
      <c r="B41">
        <v>5.0032216419810599E-3</v>
      </c>
      <c r="C41">
        <v>209.399531225441</v>
      </c>
      <c r="D41">
        <v>210.67962323856699</v>
      </c>
      <c r="E41">
        <v>207.46566177716801</v>
      </c>
      <c r="F41">
        <v>208.55907669067301</v>
      </c>
      <c r="G41">
        <v>13859529.9</v>
      </c>
      <c r="H41">
        <v>0</v>
      </c>
      <c r="I41">
        <v>0</v>
      </c>
    </row>
    <row r="42" spans="1:9" x14ac:dyDescent="0.5">
      <c r="A42" s="1">
        <v>45358</v>
      </c>
      <c r="B42">
        <v>-5.98300913217132E-3</v>
      </c>
      <c r="C42">
        <v>209.52799766758201</v>
      </c>
      <c r="D42">
        <v>210.34390486741901</v>
      </c>
      <c r="E42">
        <v>206.95353533132001</v>
      </c>
      <c r="F42">
        <v>207.72478895187299</v>
      </c>
      <c r="G42">
        <v>10964621.300000001</v>
      </c>
      <c r="H42">
        <v>0</v>
      </c>
      <c r="I42">
        <v>0</v>
      </c>
    </row>
    <row r="43" spans="1:9" x14ac:dyDescent="0.5">
      <c r="A43" s="1">
        <v>45359</v>
      </c>
      <c r="B43">
        <v>2.8957484656606798E-3</v>
      </c>
      <c r="C43">
        <v>207.51917810722199</v>
      </c>
      <c r="D43">
        <v>210.34774750001699</v>
      </c>
      <c r="E43">
        <v>206.66328691885701</v>
      </c>
      <c r="F43">
        <v>208.51329555511401</v>
      </c>
      <c r="G43">
        <v>9894159.5999999996</v>
      </c>
      <c r="H43">
        <v>0</v>
      </c>
      <c r="I43">
        <v>0</v>
      </c>
    </row>
    <row r="44" spans="1:9" x14ac:dyDescent="0.5">
      <c r="A44" s="1">
        <v>45362</v>
      </c>
      <c r="B44">
        <v>5.9254242397419696E-3</v>
      </c>
      <c r="C44">
        <v>208.21692960025601</v>
      </c>
      <c r="D44">
        <v>210.167006884545</v>
      </c>
      <c r="E44">
        <v>207.475757904414</v>
      </c>
      <c r="F44">
        <v>209.660074806213</v>
      </c>
      <c r="G44">
        <v>9067712.0999999996</v>
      </c>
      <c r="H44">
        <v>0</v>
      </c>
      <c r="I44">
        <v>0</v>
      </c>
    </row>
    <row r="45" spans="1:9" x14ac:dyDescent="0.5">
      <c r="A45" s="1">
        <v>45363</v>
      </c>
      <c r="B45">
        <v>6.8960423684010803E-3</v>
      </c>
      <c r="C45">
        <v>210.73703155089899</v>
      </c>
      <c r="D45">
        <v>211.87157081734799</v>
      </c>
      <c r="E45">
        <v>209.08304605327601</v>
      </c>
      <c r="F45">
        <v>210.47544326782199</v>
      </c>
      <c r="G45">
        <v>11978365.199999999</v>
      </c>
      <c r="H45">
        <v>0</v>
      </c>
      <c r="I45">
        <v>0</v>
      </c>
    </row>
    <row r="46" spans="1:9" x14ac:dyDescent="0.5">
      <c r="A46" s="1">
        <v>45364</v>
      </c>
      <c r="B46">
        <v>-8.4515527923923698E-3</v>
      </c>
      <c r="C46">
        <v>209.95790935622099</v>
      </c>
      <c r="D46">
        <v>211.797066033579</v>
      </c>
      <c r="E46">
        <v>205.87749683197899</v>
      </c>
      <c r="F46">
        <v>207.05973701477001</v>
      </c>
      <c r="G46">
        <v>9938048.8000000007</v>
      </c>
      <c r="H46">
        <v>0</v>
      </c>
      <c r="I46">
        <v>0</v>
      </c>
    </row>
    <row r="47" spans="1:9" x14ac:dyDescent="0.5">
      <c r="A47" s="1">
        <v>45365</v>
      </c>
      <c r="B47">
        <v>-2.7778679113508102E-3</v>
      </c>
      <c r="C47">
        <v>207.54375770987099</v>
      </c>
      <c r="D47">
        <v>208.131349435857</v>
      </c>
      <c r="E47">
        <v>204.18230693588799</v>
      </c>
      <c r="F47">
        <v>206.58354396819999</v>
      </c>
      <c r="G47">
        <v>10884778.9</v>
      </c>
      <c r="H47">
        <v>4.3749999999999997E-2</v>
      </c>
      <c r="I47">
        <v>0</v>
      </c>
    </row>
    <row r="48" spans="1:9" x14ac:dyDescent="0.5">
      <c r="A48" s="1">
        <v>45366</v>
      </c>
      <c r="B48">
        <v>-1.20905992222845E-2</v>
      </c>
      <c r="C48">
        <v>206.26036682734301</v>
      </c>
      <c r="D48">
        <v>207.93184631610001</v>
      </c>
      <c r="E48">
        <v>204.16749761144899</v>
      </c>
      <c r="F48">
        <v>204.901851654052</v>
      </c>
      <c r="G48">
        <v>19559126.600000001</v>
      </c>
      <c r="H48">
        <v>0</v>
      </c>
      <c r="I48">
        <v>0</v>
      </c>
    </row>
    <row r="49" spans="1:9" x14ac:dyDescent="0.5">
      <c r="A49" s="1">
        <v>45369</v>
      </c>
      <c r="B49">
        <v>6.7552942242204497E-3</v>
      </c>
      <c r="C49">
        <v>205.99009706235501</v>
      </c>
      <c r="D49">
        <v>207.15067647865399</v>
      </c>
      <c r="E49">
        <v>204.67831800183501</v>
      </c>
      <c r="F49">
        <v>205.292171573638</v>
      </c>
      <c r="G49">
        <v>13647314.1</v>
      </c>
      <c r="H49">
        <v>0</v>
      </c>
      <c r="I49">
        <v>0</v>
      </c>
    </row>
    <row r="50" spans="1:9" x14ac:dyDescent="0.5">
      <c r="A50" s="1">
        <v>45370</v>
      </c>
      <c r="B50">
        <v>5.7601130421242701E-3</v>
      </c>
      <c r="C50">
        <v>205.78672335463301</v>
      </c>
      <c r="D50">
        <v>208.82226836123999</v>
      </c>
      <c r="E50">
        <v>205.01333751112699</v>
      </c>
      <c r="F50">
        <v>207.58218669891301</v>
      </c>
      <c r="G50">
        <v>8151556.9000000004</v>
      </c>
      <c r="H50">
        <v>0</v>
      </c>
      <c r="I50">
        <v>0</v>
      </c>
    </row>
    <row r="51" spans="1:9" x14ac:dyDescent="0.5">
      <c r="A51" s="1">
        <v>45371</v>
      </c>
      <c r="B51">
        <v>1.0500017954202599E-2</v>
      </c>
      <c r="C51">
        <v>207.683473994184</v>
      </c>
      <c r="D51">
        <v>209.837389965326</v>
      </c>
      <c r="E51">
        <v>206.51768183168801</v>
      </c>
      <c r="F51">
        <v>209.61897468566801</v>
      </c>
      <c r="G51">
        <v>8332539.9000000004</v>
      </c>
      <c r="H51">
        <v>0</v>
      </c>
      <c r="I51">
        <v>0</v>
      </c>
    </row>
    <row r="52" spans="1:9" x14ac:dyDescent="0.5">
      <c r="A52" s="1">
        <v>45372</v>
      </c>
      <c r="B52">
        <v>4.6933423256278499E-3</v>
      </c>
      <c r="C52">
        <v>210.13966286627399</v>
      </c>
      <c r="D52">
        <v>212.30104115825799</v>
      </c>
      <c r="E52">
        <v>208.81193195361001</v>
      </c>
      <c r="F52">
        <v>210.96157808303801</v>
      </c>
      <c r="G52">
        <v>8283261.2999999998</v>
      </c>
      <c r="H52">
        <v>0</v>
      </c>
      <c r="I52">
        <v>0</v>
      </c>
    </row>
    <row r="53" spans="1:9" x14ac:dyDescent="0.5">
      <c r="A53" s="1">
        <v>45373</v>
      </c>
      <c r="B53">
        <v>-2.83537669115078E-3</v>
      </c>
      <c r="C53">
        <v>211.26281619593601</v>
      </c>
      <c r="D53">
        <v>212.10655645362101</v>
      </c>
      <c r="E53">
        <v>208.918774201757</v>
      </c>
      <c r="F53">
        <v>209.46724233627299</v>
      </c>
      <c r="G53">
        <v>7532299.2999999998</v>
      </c>
      <c r="H53">
        <v>0</v>
      </c>
      <c r="I53">
        <v>0</v>
      </c>
    </row>
    <row r="54" spans="1:9" x14ac:dyDescent="0.5">
      <c r="A54" s="1">
        <v>45376</v>
      </c>
      <c r="B54">
        <v>-8.7848498200726807E-3</v>
      </c>
      <c r="C54">
        <v>208.23458314779</v>
      </c>
      <c r="D54">
        <v>209.053537414174</v>
      </c>
      <c r="E54">
        <v>206.38145598548101</v>
      </c>
      <c r="F54">
        <v>207.26577081680199</v>
      </c>
      <c r="G54">
        <v>7887756.9000000004</v>
      </c>
      <c r="H54">
        <v>0</v>
      </c>
      <c r="I54">
        <v>0</v>
      </c>
    </row>
    <row r="55" spans="1:9" x14ac:dyDescent="0.5">
      <c r="A55" s="1">
        <v>45377</v>
      </c>
      <c r="B55">
        <v>8.2196782245308399E-4</v>
      </c>
      <c r="C55">
        <v>207.876053428869</v>
      </c>
      <c r="D55">
        <v>208.599631455283</v>
      </c>
      <c r="E55">
        <v>206.16536768813299</v>
      </c>
      <c r="F55">
        <v>207.251414489746</v>
      </c>
      <c r="G55">
        <v>7794309.2999999998</v>
      </c>
      <c r="H55">
        <v>0</v>
      </c>
      <c r="I55">
        <v>0</v>
      </c>
    </row>
    <row r="56" spans="1:9" x14ac:dyDescent="0.5">
      <c r="A56" s="1">
        <v>45378</v>
      </c>
      <c r="B56">
        <v>8.82869759222152E-3</v>
      </c>
      <c r="C56">
        <v>207.456472202626</v>
      </c>
      <c r="D56">
        <v>210.02276793882601</v>
      </c>
      <c r="E56">
        <v>206.721812913706</v>
      </c>
      <c r="F56">
        <v>209.53667812347399</v>
      </c>
      <c r="G56">
        <v>6635142.5999999996</v>
      </c>
      <c r="H56">
        <v>0</v>
      </c>
      <c r="I56">
        <v>0</v>
      </c>
    </row>
    <row r="57" spans="1:9" x14ac:dyDescent="0.5">
      <c r="A57" s="1">
        <v>45379</v>
      </c>
      <c r="B57">
        <v>2.5968746119929098E-3</v>
      </c>
      <c r="C57">
        <v>209.68499020233</v>
      </c>
      <c r="D57">
        <v>210.7743249401</v>
      </c>
      <c r="E57">
        <v>208.94819678081601</v>
      </c>
      <c r="F57">
        <v>209.90052909850999</v>
      </c>
      <c r="G57">
        <v>7237572.5999999996</v>
      </c>
      <c r="H57">
        <v>0</v>
      </c>
      <c r="I57">
        <v>0</v>
      </c>
    </row>
    <row r="58" spans="1:9" x14ac:dyDescent="0.5">
      <c r="A58" s="1">
        <v>45383</v>
      </c>
      <c r="B58">
        <v>6.6604914990734303E-3</v>
      </c>
      <c r="C58">
        <v>209.95254318427999</v>
      </c>
      <c r="D58">
        <v>211.03394163238599</v>
      </c>
      <c r="E58">
        <v>207.681976761638</v>
      </c>
      <c r="F58">
        <v>209.71160049438399</v>
      </c>
      <c r="G58">
        <v>8167440</v>
      </c>
      <c r="H58">
        <v>0</v>
      </c>
      <c r="I58">
        <v>0.1196</v>
      </c>
    </row>
    <row r="59" spans="1:9" x14ac:dyDescent="0.5">
      <c r="A59" s="1">
        <v>45384</v>
      </c>
      <c r="B59">
        <v>-8.5917292304281707E-3</v>
      </c>
      <c r="C59">
        <v>208.99462204651499</v>
      </c>
      <c r="D59">
        <v>209.83094036816701</v>
      </c>
      <c r="E59">
        <v>207.27793965996599</v>
      </c>
      <c r="F59">
        <v>208.14497251510599</v>
      </c>
      <c r="G59">
        <v>7456800</v>
      </c>
      <c r="H59">
        <v>0</v>
      </c>
      <c r="I59">
        <v>0</v>
      </c>
    </row>
    <row r="60" spans="1:9" x14ac:dyDescent="0.5">
      <c r="A60" s="1">
        <v>45385</v>
      </c>
      <c r="B60">
        <v>1.7351993857180801E-3</v>
      </c>
      <c r="C60">
        <v>207.91429461070501</v>
      </c>
      <c r="D60">
        <v>209.42431146873699</v>
      </c>
      <c r="E60">
        <v>206.77681689313101</v>
      </c>
      <c r="F60">
        <v>207.635481643676</v>
      </c>
      <c r="G60">
        <v>9509320</v>
      </c>
      <c r="H60">
        <v>0</v>
      </c>
      <c r="I60">
        <v>0</v>
      </c>
    </row>
    <row r="61" spans="1:9" x14ac:dyDescent="0.5">
      <c r="A61" s="1">
        <v>45386</v>
      </c>
      <c r="B61">
        <v>-1.90343392590821E-2</v>
      </c>
      <c r="C61">
        <v>208.492116734391</v>
      </c>
      <c r="D61">
        <v>208.94696120136601</v>
      </c>
      <c r="E61">
        <v>203.44016046572099</v>
      </c>
      <c r="F61">
        <v>203.65932731628399</v>
      </c>
      <c r="G61">
        <v>9625700</v>
      </c>
      <c r="H61">
        <v>0</v>
      </c>
      <c r="I61">
        <v>0</v>
      </c>
    </row>
    <row r="62" spans="1:9" x14ac:dyDescent="0.5">
      <c r="A62" s="1">
        <v>45387</v>
      </c>
      <c r="B62">
        <v>-9.1268835711160097E-4</v>
      </c>
      <c r="C62">
        <v>203.56393113096999</v>
      </c>
      <c r="D62">
        <v>204.968885636452</v>
      </c>
      <c r="E62">
        <v>201.572778735707</v>
      </c>
      <c r="F62">
        <v>203.07242822647001</v>
      </c>
      <c r="G62">
        <v>8510715</v>
      </c>
      <c r="H62">
        <v>0</v>
      </c>
      <c r="I62">
        <v>0</v>
      </c>
    </row>
    <row r="63" spans="1:9" x14ac:dyDescent="0.5">
      <c r="A63" s="1">
        <v>45390</v>
      </c>
      <c r="B63">
        <v>5.6285737255006799E-3</v>
      </c>
      <c r="C63">
        <v>203.37302345740301</v>
      </c>
      <c r="D63">
        <v>204.907041798271</v>
      </c>
      <c r="E63">
        <v>202.52105750945799</v>
      </c>
      <c r="F63">
        <v>204.05383434295601</v>
      </c>
      <c r="G63">
        <v>6735275</v>
      </c>
      <c r="H63">
        <v>0</v>
      </c>
      <c r="I63">
        <v>0</v>
      </c>
    </row>
    <row r="64" spans="1:9" x14ac:dyDescent="0.5">
      <c r="A64" s="1">
        <v>45391</v>
      </c>
      <c r="B64">
        <v>3.73475044977859E-3</v>
      </c>
      <c r="C64">
        <v>203.76827059439501</v>
      </c>
      <c r="D64">
        <v>205.70999460711201</v>
      </c>
      <c r="E64">
        <v>202.44838027218401</v>
      </c>
      <c r="F64">
        <v>204.955923748016</v>
      </c>
      <c r="G64">
        <v>8101190</v>
      </c>
      <c r="H64">
        <v>0</v>
      </c>
      <c r="I64">
        <v>0</v>
      </c>
    </row>
    <row r="65" spans="1:9" x14ac:dyDescent="0.5">
      <c r="A65" s="1">
        <v>45392</v>
      </c>
      <c r="B65">
        <v>-5.4836820056625504E-3</v>
      </c>
      <c r="C65">
        <v>203.01549100567101</v>
      </c>
      <c r="D65">
        <v>204.27027348016301</v>
      </c>
      <c r="E65">
        <v>201.17224499754201</v>
      </c>
      <c r="F65">
        <v>203.35911531448301</v>
      </c>
      <c r="G65">
        <v>7905335</v>
      </c>
      <c r="H65">
        <v>0</v>
      </c>
      <c r="I65">
        <v>0</v>
      </c>
    </row>
    <row r="66" spans="1:9" x14ac:dyDescent="0.5">
      <c r="A66" s="1">
        <v>45393</v>
      </c>
      <c r="B66">
        <v>1.84264417045603E-3</v>
      </c>
      <c r="C66">
        <v>203.71743653133899</v>
      </c>
      <c r="D66">
        <v>204.582185537122</v>
      </c>
      <c r="E66">
        <v>201.901395670406</v>
      </c>
      <c r="F66">
        <v>203.51250953674301</v>
      </c>
      <c r="G66">
        <v>7271930</v>
      </c>
      <c r="H66">
        <v>0</v>
      </c>
      <c r="I66">
        <v>0</v>
      </c>
    </row>
    <row r="67" spans="1:9" x14ac:dyDescent="0.5">
      <c r="A67" s="1">
        <v>45394</v>
      </c>
      <c r="B67">
        <v>-1.1800750414328799E-2</v>
      </c>
      <c r="C67">
        <v>202.538741754287</v>
      </c>
      <c r="D67">
        <v>203.19270390568499</v>
      </c>
      <c r="E67">
        <v>200.96841824245101</v>
      </c>
      <c r="F67">
        <v>201.79833002090399</v>
      </c>
      <c r="G67">
        <v>7877975</v>
      </c>
      <c r="H67">
        <v>0</v>
      </c>
      <c r="I67">
        <v>0</v>
      </c>
    </row>
    <row r="68" spans="1:9" x14ac:dyDescent="0.5">
      <c r="A68" s="1">
        <v>45397</v>
      </c>
      <c r="B68">
        <v>-3.8351996015816201E-3</v>
      </c>
      <c r="C68">
        <v>204.14274044702501</v>
      </c>
      <c r="D68">
        <v>205.12773765071299</v>
      </c>
      <c r="E68">
        <v>201.206022408352</v>
      </c>
      <c r="F68">
        <v>201.68188638687101</v>
      </c>
      <c r="G68">
        <v>9433580</v>
      </c>
      <c r="H68">
        <v>0</v>
      </c>
      <c r="I68">
        <v>0</v>
      </c>
    </row>
    <row r="69" spans="1:9" x14ac:dyDescent="0.5">
      <c r="A69" s="1">
        <v>45398</v>
      </c>
      <c r="B69">
        <v>-3.8615369826693201E-3</v>
      </c>
      <c r="C69">
        <v>201.83482718352701</v>
      </c>
      <c r="D69">
        <v>202.78138354358299</v>
      </c>
      <c r="E69">
        <v>200.265396161501</v>
      </c>
      <c r="F69">
        <v>200.883399772644</v>
      </c>
      <c r="G69">
        <v>6960490</v>
      </c>
      <c r="H69">
        <v>0</v>
      </c>
      <c r="I69">
        <v>0</v>
      </c>
    </row>
    <row r="70" spans="1:9" x14ac:dyDescent="0.5">
      <c r="A70" s="1">
        <v>45399</v>
      </c>
      <c r="B70">
        <v>9.1009942870950294E-3</v>
      </c>
      <c r="C70">
        <v>202.26362785659899</v>
      </c>
      <c r="D70">
        <v>204.462652581767</v>
      </c>
      <c r="E70">
        <v>201.29045429996199</v>
      </c>
      <c r="F70">
        <v>203.603207683563</v>
      </c>
      <c r="G70">
        <v>7281835</v>
      </c>
      <c r="H70">
        <v>0</v>
      </c>
      <c r="I70">
        <v>0</v>
      </c>
    </row>
    <row r="71" spans="1:9" x14ac:dyDescent="0.5">
      <c r="A71" s="1">
        <v>45400</v>
      </c>
      <c r="B71">
        <v>2.1929576942592999E-3</v>
      </c>
      <c r="C71">
        <v>204.19910153953501</v>
      </c>
      <c r="D71">
        <v>204.896869249064</v>
      </c>
      <c r="E71">
        <v>202.61910850082199</v>
      </c>
      <c r="F71">
        <v>203.92597894668501</v>
      </c>
      <c r="G71">
        <v>7172300</v>
      </c>
      <c r="H71">
        <v>0</v>
      </c>
      <c r="I71">
        <v>0</v>
      </c>
    </row>
    <row r="72" spans="1:9" x14ac:dyDescent="0.5">
      <c r="A72" s="1">
        <v>45401</v>
      </c>
      <c r="B72">
        <v>-3.7270066615869202E-4</v>
      </c>
      <c r="C72">
        <v>204.438427830699</v>
      </c>
      <c r="D72">
        <v>205.18703229801301</v>
      </c>
      <c r="E72">
        <v>202.95746735475501</v>
      </c>
      <c r="F72">
        <v>204.166630935668</v>
      </c>
      <c r="G72">
        <v>8785235</v>
      </c>
      <c r="H72">
        <v>0</v>
      </c>
      <c r="I72">
        <v>0</v>
      </c>
    </row>
    <row r="73" spans="1:9" x14ac:dyDescent="0.5">
      <c r="A73" s="1">
        <v>45404</v>
      </c>
      <c r="B73">
        <v>1.2002984121793899E-2</v>
      </c>
      <c r="C73">
        <v>205.33829490158601</v>
      </c>
      <c r="D73">
        <v>208.17432198499199</v>
      </c>
      <c r="E73">
        <v>204.209451121092</v>
      </c>
      <c r="F73">
        <v>207.43569145202599</v>
      </c>
      <c r="G73">
        <v>7316060</v>
      </c>
      <c r="H73">
        <v>0</v>
      </c>
      <c r="I73">
        <v>0</v>
      </c>
    </row>
    <row r="74" spans="1:9" x14ac:dyDescent="0.5">
      <c r="A74" s="1">
        <v>45405</v>
      </c>
      <c r="B74">
        <v>5.8854819228437699E-3</v>
      </c>
      <c r="C74">
        <v>208.22060442888201</v>
      </c>
      <c r="D74">
        <v>209.634163778068</v>
      </c>
      <c r="E74">
        <v>206.811830117531</v>
      </c>
      <c r="F74">
        <v>209.02303333282401</v>
      </c>
      <c r="G74">
        <v>6759465</v>
      </c>
      <c r="H74">
        <v>0</v>
      </c>
      <c r="I74">
        <v>0</v>
      </c>
    </row>
    <row r="75" spans="1:9" x14ac:dyDescent="0.5">
      <c r="A75" s="1">
        <v>45406</v>
      </c>
      <c r="B75">
        <v>1.0553750578015399E-3</v>
      </c>
      <c r="C75">
        <v>208.97102394034201</v>
      </c>
      <c r="D75">
        <v>210.25985398050699</v>
      </c>
      <c r="E75">
        <v>206.73986164108501</v>
      </c>
      <c r="F75">
        <v>209.01690692901599</v>
      </c>
      <c r="G75">
        <v>7932015</v>
      </c>
      <c r="H75">
        <v>0</v>
      </c>
      <c r="I75">
        <v>0</v>
      </c>
    </row>
    <row r="76" spans="1:9" x14ac:dyDescent="0.5">
      <c r="A76" s="1">
        <v>45407</v>
      </c>
      <c r="B76">
        <v>-4.4391647245875998E-3</v>
      </c>
      <c r="C76">
        <v>207.896722440719</v>
      </c>
      <c r="D76">
        <v>210.21039818487199</v>
      </c>
      <c r="E76">
        <v>205.96497833344301</v>
      </c>
      <c r="F76">
        <v>207.92412662506101</v>
      </c>
      <c r="G76">
        <v>10891715</v>
      </c>
      <c r="H76">
        <v>0</v>
      </c>
      <c r="I76">
        <v>0</v>
      </c>
    </row>
    <row r="77" spans="1:9" x14ac:dyDescent="0.5">
      <c r="A77" s="1">
        <v>45408</v>
      </c>
      <c r="B77">
        <v>1.0366339841771001E-2</v>
      </c>
      <c r="C77">
        <v>208.03460099581201</v>
      </c>
      <c r="D77">
        <v>211.12020858939499</v>
      </c>
      <c r="E77">
        <v>206.97891541936701</v>
      </c>
      <c r="F77">
        <v>209.27184352874701</v>
      </c>
      <c r="G77">
        <v>11217675</v>
      </c>
      <c r="H77">
        <v>0</v>
      </c>
      <c r="I77">
        <v>0</v>
      </c>
    </row>
    <row r="78" spans="1:9" x14ac:dyDescent="0.5">
      <c r="A78" s="1">
        <v>45411</v>
      </c>
      <c r="B78">
        <v>-2.22812922907772E-3</v>
      </c>
      <c r="C78">
        <v>209.045201603462</v>
      </c>
      <c r="D78">
        <v>210.25791612050801</v>
      </c>
      <c r="E78">
        <v>207.97081447573399</v>
      </c>
      <c r="F78">
        <v>208.97772588729799</v>
      </c>
      <c r="G78">
        <v>8890040</v>
      </c>
      <c r="H78">
        <v>0</v>
      </c>
      <c r="I78">
        <v>0</v>
      </c>
    </row>
    <row r="79" spans="1:9" x14ac:dyDescent="0.5">
      <c r="A79" s="1">
        <v>45412</v>
      </c>
      <c r="B79">
        <v>-1.9829675061420601E-3</v>
      </c>
      <c r="C79">
        <v>205.257668113818</v>
      </c>
      <c r="D79">
        <v>211.19741705996199</v>
      </c>
      <c r="E79">
        <v>203.61178296814799</v>
      </c>
      <c r="F79">
        <v>208.10345859527499</v>
      </c>
      <c r="G79">
        <v>11086280</v>
      </c>
      <c r="H79">
        <v>0</v>
      </c>
      <c r="I79">
        <v>0</v>
      </c>
    </row>
    <row r="80" spans="1:9" x14ac:dyDescent="0.5">
      <c r="A80" s="1">
        <v>45413</v>
      </c>
      <c r="B80">
        <v>-5.3611910447853199E-4</v>
      </c>
      <c r="C80">
        <v>207.68913959422099</v>
      </c>
      <c r="D80">
        <v>211.12594556959701</v>
      </c>
      <c r="E80">
        <v>206.57217389485299</v>
      </c>
      <c r="F80">
        <v>208.77162504196099</v>
      </c>
      <c r="G80">
        <v>9483415</v>
      </c>
      <c r="H80">
        <v>0</v>
      </c>
      <c r="I80">
        <v>0</v>
      </c>
    </row>
    <row r="81" spans="1:9" x14ac:dyDescent="0.5">
      <c r="A81" s="1">
        <v>45414</v>
      </c>
      <c r="B81">
        <v>6.46713021149314E-4</v>
      </c>
      <c r="C81">
        <v>209.507991469242</v>
      </c>
      <c r="D81">
        <v>210.72673688467501</v>
      </c>
      <c r="E81">
        <v>207.93516593953399</v>
      </c>
      <c r="F81">
        <v>209.03164281845</v>
      </c>
      <c r="G81">
        <v>7210535</v>
      </c>
      <c r="H81">
        <v>0</v>
      </c>
      <c r="I81">
        <v>0</v>
      </c>
    </row>
    <row r="82" spans="1:9" x14ac:dyDescent="0.5">
      <c r="A82" s="1">
        <v>45415</v>
      </c>
      <c r="B82">
        <v>1.1562682925918299E-3</v>
      </c>
      <c r="C82">
        <v>209.95065676823401</v>
      </c>
      <c r="D82">
        <v>211.04246616883901</v>
      </c>
      <c r="E82">
        <v>207.06049216280101</v>
      </c>
      <c r="F82">
        <v>208.65688190460199</v>
      </c>
      <c r="G82">
        <v>7405920</v>
      </c>
      <c r="H82">
        <v>0</v>
      </c>
      <c r="I82">
        <v>0</v>
      </c>
    </row>
    <row r="83" spans="1:9" x14ac:dyDescent="0.5">
      <c r="A83" s="1">
        <v>45418</v>
      </c>
      <c r="B83">
        <v>4.0520077781077196E-3</v>
      </c>
      <c r="C83">
        <v>209.463523427387</v>
      </c>
      <c r="D83">
        <v>210.522574385144</v>
      </c>
      <c r="E83">
        <v>208.22605020817599</v>
      </c>
      <c r="F83">
        <v>209.296112537384</v>
      </c>
      <c r="G83">
        <v>6050490</v>
      </c>
      <c r="H83">
        <v>0</v>
      </c>
      <c r="I83">
        <v>0</v>
      </c>
    </row>
    <row r="84" spans="1:9" x14ac:dyDescent="0.5">
      <c r="A84" s="1">
        <v>45419</v>
      </c>
      <c r="B84">
        <v>-2.8733408352940798E-3</v>
      </c>
      <c r="C84">
        <v>209.90727504054399</v>
      </c>
      <c r="D84">
        <v>211.18340643464799</v>
      </c>
      <c r="E84">
        <v>208.18558529041999</v>
      </c>
      <c r="F84">
        <v>209.15460453033401</v>
      </c>
      <c r="G84">
        <v>7083745</v>
      </c>
      <c r="H84">
        <v>0</v>
      </c>
      <c r="I84">
        <v>0</v>
      </c>
    </row>
    <row r="85" spans="1:9" x14ac:dyDescent="0.5">
      <c r="A85" s="1">
        <v>45420</v>
      </c>
      <c r="B85">
        <v>5.2406323145713102E-3</v>
      </c>
      <c r="C85">
        <v>208.94835912426399</v>
      </c>
      <c r="D85">
        <v>210.38990340177199</v>
      </c>
      <c r="E85">
        <v>207.927883328077</v>
      </c>
      <c r="F85">
        <v>209.881849384307</v>
      </c>
      <c r="G85">
        <v>6457915</v>
      </c>
      <c r="H85">
        <v>0</v>
      </c>
      <c r="I85">
        <v>0</v>
      </c>
    </row>
    <row r="86" spans="1:9" x14ac:dyDescent="0.5">
      <c r="A86" s="1">
        <v>45421</v>
      </c>
      <c r="B86">
        <v>1.9446745370436001E-3</v>
      </c>
      <c r="C86">
        <v>209.75157193503799</v>
      </c>
      <c r="D86">
        <v>211.23434422635299</v>
      </c>
      <c r="E86">
        <v>208.95117935031499</v>
      </c>
      <c r="F86">
        <v>210.792184925079</v>
      </c>
      <c r="G86">
        <v>5960615</v>
      </c>
      <c r="H86">
        <v>0</v>
      </c>
      <c r="I86">
        <v>0</v>
      </c>
    </row>
    <row r="87" spans="1:9" x14ac:dyDescent="0.5">
      <c r="A87" s="1">
        <v>45422</v>
      </c>
      <c r="B87" s="28">
        <v>1.23071868858491E-2</v>
      </c>
      <c r="C87">
        <v>211.01062831049001</v>
      </c>
      <c r="D87">
        <v>214.56785357702699</v>
      </c>
      <c r="E87">
        <v>210.38850226787</v>
      </c>
      <c r="F87">
        <v>213.76114435195899</v>
      </c>
      <c r="G87">
        <v>7856955</v>
      </c>
      <c r="H87">
        <v>0</v>
      </c>
      <c r="I87">
        <v>0</v>
      </c>
    </row>
    <row r="88" spans="1:9" x14ac:dyDescent="0.5">
      <c r="A88" s="1">
        <v>45425</v>
      </c>
      <c r="B88">
        <v>-2.0262236020959202E-3</v>
      </c>
      <c r="C88">
        <v>213.71401051657901</v>
      </c>
      <c r="D88">
        <v>215.25011551813699</v>
      </c>
      <c r="E88">
        <v>211.48325062116101</v>
      </c>
      <c r="F88">
        <v>212.23783702850301</v>
      </c>
      <c r="G88">
        <v>8740075</v>
      </c>
      <c r="H88">
        <v>0</v>
      </c>
      <c r="I88">
        <v>0</v>
      </c>
    </row>
    <row r="89" spans="1:9" x14ac:dyDescent="0.5">
      <c r="A89" s="1">
        <v>45426</v>
      </c>
      <c r="B89">
        <v>2.6329180401356701E-3</v>
      </c>
      <c r="C89">
        <v>212.79104183237999</v>
      </c>
      <c r="D89">
        <v>214.09716961605201</v>
      </c>
      <c r="E89">
        <v>210.69136869629901</v>
      </c>
      <c r="F89">
        <v>212.47795495986901</v>
      </c>
      <c r="G89">
        <v>8426260</v>
      </c>
      <c r="H89">
        <v>0</v>
      </c>
      <c r="I89">
        <v>0</v>
      </c>
    </row>
    <row r="90" spans="1:9" x14ac:dyDescent="0.5">
      <c r="A90" s="1">
        <v>45427</v>
      </c>
      <c r="B90">
        <v>1.29360456699003E-2</v>
      </c>
      <c r="C90">
        <v>212.957772101487</v>
      </c>
      <c r="D90">
        <v>215.557155379851</v>
      </c>
      <c r="E90">
        <v>212.506762581841</v>
      </c>
      <c r="F90">
        <v>215.25315093994101</v>
      </c>
      <c r="G90">
        <v>8846805</v>
      </c>
      <c r="H90">
        <v>0</v>
      </c>
      <c r="I90">
        <v>0</v>
      </c>
    </row>
    <row r="91" spans="1:9" x14ac:dyDescent="0.5">
      <c r="A91" s="1">
        <v>45428</v>
      </c>
      <c r="B91">
        <v>2.75808213262164E-3</v>
      </c>
      <c r="C91">
        <v>215.543943112184</v>
      </c>
      <c r="D91">
        <v>216.97300575756401</v>
      </c>
      <c r="E91">
        <v>214.34684193848199</v>
      </c>
      <c r="F91">
        <v>215.363566875457</v>
      </c>
      <c r="G91">
        <v>7847170</v>
      </c>
      <c r="H91">
        <v>5.1999999999999998E-2</v>
      </c>
      <c r="I91">
        <v>0</v>
      </c>
    </row>
    <row r="92" spans="1:9" x14ac:dyDescent="0.5">
      <c r="A92" s="1">
        <v>45429</v>
      </c>
      <c r="B92">
        <v>1.0951098389525E-4</v>
      </c>
      <c r="C92">
        <v>215.838848015541</v>
      </c>
      <c r="D92">
        <v>216.412281152292</v>
      </c>
      <c r="E92">
        <v>214.03101515456601</v>
      </c>
      <c r="F92">
        <v>215.46736726760801</v>
      </c>
      <c r="G92">
        <v>6715475</v>
      </c>
      <c r="H92">
        <v>0</v>
      </c>
      <c r="I92">
        <v>0</v>
      </c>
    </row>
    <row r="93" spans="1:9" x14ac:dyDescent="0.5">
      <c r="A93" s="1">
        <v>45432</v>
      </c>
      <c r="B93">
        <v>-8.6299067787328002E-3</v>
      </c>
      <c r="C93">
        <v>215.18405437269499</v>
      </c>
      <c r="D93">
        <v>216.12966030211601</v>
      </c>
      <c r="E93">
        <v>212.64578742245899</v>
      </c>
      <c r="F93">
        <v>213.10661058425899</v>
      </c>
      <c r="G93">
        <v>6587010</v>
      </c>
      <c r="H93">
        <v>0</v>
      </c>
      <c r="I93">
        <v>0</v>
      </c>
    </row>
    <row r="94" spans="1:9" x14ac:dyDescent="0.5">
      <c r="A94" s="1">
        <v>45433</v>
      </c>
      <c r="B94">
        <v>-3.6414771546668398E-3</v>
      </c>
      <c r="C94">
        <v>213.208268464577</v>
      </c>
      <c r="D94">
        <v>214.53116802206901</v>
      </c>
      <c r="E94">
        <v>211.30730248052001</v>
      </c>
      <c r="F94">
        <v>212.69802722930899</v>
      </c>
      <c r="G94">
        <v>5927400</v>
      </c>
      <c r="H94">
        <v>0</v>
      </c>
      <c r="I94">
        <v>0</v>
      </c>
    </row>
    <row r="95" spans="1:9" x14ac:dyDescent="0.5">
      <c r="A95" s="1">
        <v>45434</v>
      </c>
      <c r="B95">
        <v>-1.22485588177918E-3</v>
      </c>
      <c r="C95">
        <v>212.17786163023601</v>
      </c>
      <c r="D95">
        <v>213.26961921236801</v>
      </c>
      <c r="E95">
        <v>210.54270065404299</v>
      </c>
      <c r="F95">
        <v>211.57752676010099</v>
      </c>
      <c r="G95">
        <v>5595470</v>
      </c>
      <c r="H95">
        <v>0</v>
      </c>
      <c r="I95">
        <v>0</v>
      </c>
    </row>
    <row r="96" spans="1:9" x14ac:dyDescent="0.5">
      <c r="A96" s="1">
        <v>45435</v>
      </c>
      <c r="B96">
        <v>-1.6057216871968899E-2</v>
      </c>
      <c r="C96">
        <v>211.58334046096601</v>
      </c>
      <c r="D96">
        <v>212.16585975718999</v>
      </c>
      <c r="E96">
        <v>207.028246292859</v>
      </c>
      <c r="F96">
        <v>207.486187076568</v>
      </c>
      <c r="G96">
        <v>8412105</v>
      </c>
      <c r="H96">
        <v>6.9999999999999896E-2</v>
      </c>
      <c r="I96">
        <v>0</v>
      </c>
    </row>
    <row r="97" spans="1:9" x14ac:dyDescent="0.5">
      <c r="A97" s="1">
        <v>45436</v>
      </c>
      <c r="B97">
        <v>3.3513614619776E-3</v>
      </c>
      <c r="C97">
        <v>208.24303974494001</v>
      </c>
      <c r="D97">
        <v>209.67909545708801</v>
      </c>
      <c r="E97">
        <v>207.32620183052299</v>
      </c>
      <c r="F97">
        <v>208.06262521743699</v>
      </c>
      <c r="G97">
        <v>6347910</v>
      </c>
      <c r="H97">
        <v>0</v>
      </c>
      <c r="I97">
        <v>0</v>
      </c>
    </row>
    <row r="98" spans="1:9" x14ac:dyDescent="0.5">
      <c r="A98" s="1">
        <v>45440</v>
      </c>
      <c r="B98">
        <v>-8.99071973667721E-3</v>
      </c>
      <c r="C98">
        <v>207.56634834592199</v>
      </c>
      <c r="D98">
        <v>208.91602343402599</v>
      </c>
      <c r="E98">
        <v>204.95251255828299</v>
      </c>
      <c r="F98">
        <v>205.80440607070901</v>
      </c>
      <c r="G98">
        <v>8347045</v>
      </c>
      <c r="H98">
        <v>0</v>
      </c>
      <c r="I98">
        <v>0</v>
      </c>
    </row>
    <row r="99" spans="1:9" x14ac:dyDescent="0.5">
      <c r="A99" s="1">
        <v>45441</v>
      </c>
      <c r="B99">
        <v>-1.13247951019679E-2</v>
      </c>
      <c r="C99">
        <v>204.81814476585399</v>
      </c>
      <c r="D99">
        <v>205.785125573193</v>
      </c>
      <c r="E99">
        <v>202.56537769170501</v>
      </c>
      <c r="F99">
        <v>203.48334131240799</v>
      </c>
      <c r="G99">
        <v>7935855</v>
      </c>
      <c r="H99">
        <v>0</v>
      </c>
      <c r="I99">
        <v>0</v>
      </c>
    </row>
    <row r="100" spans="1:9" x14ac:dyDescent="0.5">
      <c r="A100" s="1">
        <v>45442</v>
      </c>
      <c r="B100">
        <v>5.8418397778867799E-3</v>
      </c>
      <c r="C100">
        <v>203.81528260156099</v>
      </c>
      <c r="D100">
        <v>205.413447629784</v>
      </c>
      <c r="E100">
        <v>202.574000833084</v>
      </c>
      <c r="F100">
        <v>204.126495742797</v>
      </c>
      <c r="G100">
        <v>10151665</v>
      </c>
      <c r="H100">
        <v>0.27500000000000002</v>
      </c>
      <c r="I100">
        <v>0</v>
      </c>
    </row>
    <row r="101" spans="1:9" x14ac:dyDescent="0.5">
      <c r="A101" s="1">
        <v>45443</v>
      </c>
      <c r="B101">
        <v>8.5773510651607696E-3</v>
      </c>
      <c r="C101">
        <v>204.803808020796</v>
      </c>
      <c r="D101">
        <v>208.029196339295</v>
      </c>
      <c r="E101">
        <v>203.72173556998999</v>
      </c>
      <c r="F101">
        <v>207.71341962814299</v>
      </c>
      <c r="G101">
        <v>15560045</v>
      </c>
      <c r="H101">
        <v>0</v>
      </c>
      <c r="I101">
        <v>0</v>
      </c>
    </row>
    <row r="102" spans="1:9" x14ac:dyDescent="0.5">
      <c r="A102" s="1">
        <v>45446</v>
      </c>
      <c r="B102">
        <v>5.3920944689977799E-3</v>
      </c>
      <c r="C102">
        <v>208.346527270986</v>
      </c>
      <c r="D102">
        <v>209.437645371337</v>
      </c>
      <c r="E102">
        <v>205.728218970048</v>
      </c>
      <c r="F102">
        <v>208.43197689056399</v>
      </c>
      <c r="G102">
        <v>9493675</v>
      </c>
      <c r="H102">
        <v>0.66800000000000004</v>
      </c>
      <c r="I102">
        <v>0</v>
      </c>
    </row>
    <row r="103" spans="1:9" x14ac:dyDescent="0.5">
      <c r="A103" s="1">
        <v>45447</v>
      </c>
      <c r="B103">
        <v>2.48140315736039E-3</v>
      </c>
      <c r="C103">
        <v>207.68266689623499</v>
      </c>
      <c r="D103">
        <v>210.376780693504</v>
      </c>
      <c r="E103">
        <v>207.165844470005</v>
      </c>
      <c r="F103">
        <v>209.794174957275</v>
      </c>
      <c r="G103">
        <v>10832475</v>
      </c>
      <c r="H103">
        <v>0</v>
      </c>
      <c r="I103">
        <v>0</v>
      </c>
    </row>
    <row r="104" spans="1:9" x14ac:dyDescent="0.5">
      <c r="A104" s="1">
        <v>45448</v>
      </c>
      <c r="B104">
        <v>1.54038679765254E-2</v>
      </c>
      <c r="C104">
        <v>210.211877488868</v>
      </c>
      <c r="D104">
        <v>211.23356323896999</v>
      </c>
      <c r="E104">
        <v>208.54033477373801</v>
      </c>
      <c r="F104">
        <v>210.032097911834</v>
      </c>
      <c r="G104">
        <v>18633310</v>
      </c>
      <c r="H104">
        <v>0</v>
      </c>
      <c r="I104">
        <v>0</v>
      </c>
    </row>
    <row r="105" spans="1:9" x14ac:dyDescent="0.5">
      <c r="A105" s="1">
        <v>45449</v>
      </c>
      <c r="B105">
        <v>2.20447821441388E-3</v>
      </c>
      <c r="C105">
        <v>210.44860140072299</v>
      </c>
      <c r="D105">
        <v>211.62090580965801</v>
      </c>
      <c r="E105">
        <v>208.98667880708501</v>
      </c>
      <c r="F105">
        <v>210.29549283981299</v>
      </c>
      <c r="G105">
        <v>9582825</v>
      </c>
      <c r="H105">
        <v>0</v>
      </c>
      <c r="I105">
        <v>0</v>
      </c>
    </row>
    <row r="106" spans="1:9" x14ac:dyDescent="0.5">
      <c r="A106" s="1">
        <v>45450</v>
      </c>
      <c r="B106">
        <v>-2.4418728717225499E-3</v>
      </c>
      <c r="C106">
        <v>210.015790556621</v>
      </c>
      <c r="D106">
        <v>211.753692380134</v>
      </c>
      <c r="E106">
        <v>207.55677402874201</v>
      </c>
      <c r="F106">
        <v>208.43678808212201</v>
      </c>
      <c r="G106">
        <v>7789110</v>
      </c>
      <c r="H106">
        <v>0</v>
      </c>
      <c r="I106">
        <v>0</v>
      </c>
    </row>
    <row r="107" spans="1:9" x14ac:dyDescent="0.5">
      <c r="A107" s="1">
        <v>45453</v>
      </c>
      <c r="B107">
        <v>-1.17306448089531E-3</v>
      </c>
      <c r="C107">
        <v>208.069017908359</v>
      </c>
      <c r="D107">
        <v>208.85749758051901</v>
      </c>
      <c r="E107">
        <v>205.98793776442099</v>
      </c>
      <c r="F107">
        <v>207.106407260894</v>
      </c>
      <c r="G107">
        <v>8880555</v>
      </c>
      <c r="H107">
        <v>0.02</v>
      </c>
      <c r="I107">
        <v>0</v>
      </c>
    </row>
    <row r="108" spans="1:9" x14ac:dyDescent="0.5">
      <c r="A108" s="1">
        <v>45454</v>
      </c>
      <c r="B108">
        <v>-1.14257027621794E-4</v>
      </c>
      <c r="C108">
        <v>206.54060337720799</v>
      </c>
      <c r="D108">
        <v>207.549718239996</v>
      </c>
      <c r="E108">
        <v>204.78352299756401</v>
      </c>
      <c r="F108">
        <v>206.55372276306099</v>
      </c>
      <c r="G108">
        <v>7046570</v>
      </c>
      <c r="H108">
        <v>0</v>
      </c>
      <c r="I108">
        <v>0</v>
      </c>
    </row>
    <row r="109" spans="1:9" x14ac:dyDescent="0.5">
      <c r="A109" s="1">
        <v>45455</v>
      </c>
      <c r="B109">
        <v>2.3082458763419799E-3</v>
      </c>
      <c r="C109">
        <v>208.47265691007701</v>
      </c>
      <c r="D109">
        <v>209.69128023855799</v>
      </c>
      <c r="E109">
        <v>205.786849349601</v>
      </c>
      <c r="F109">
        <v>206.763768959045</v>
      </c>
      <c r="G109">
        <v>8867365</v>
      </c>
      <c r="H109">
        <v>0</v>
      </c>
      <c r="I109">
        <v>0</v>
      </c>
    </row>
    <row r="110" spans="1:9" x14ac:dyDescent="0.5">
      <c r="A110" s="1">
        <v>45456</v>
      </c>
      <c r="B110">
        <v>3.60389265306626E-3</v>
      </c>
      <c r="C110">
        <v>206.11862793910299</v>
      </c>
      <c r="D110">
        <v>207.19002564663899</v>
      </c>
      <c r="E110">
        <v>204.324584109315</v>
      </c>
      <c r="F110">
        <v>206.20772800445499</v>
      </c>
      <c r="G110">
        <v>8699285</v>
      </c>
      <c r="H110">
        <v>0</v>
      </c>
      <c r="I110">
        <v>0</v>
      </c>
    </row>
    <row r="111" spans="1:9" x14ac:dyDescent="0.5">
      <c r="A111" s="1">
        <v>45457</v>
      </c>
      <c r="B111">
        <v>-1.12661617616802E-3</v>
      </c>
      <c r="C111">
        <v>205.107445486849</v>
      </c>
      <c r="D111">
        <v>206.594347942002</v>
      </c>
      <c r="E111">
        <v>203.65477730844299</v>
      </c>
      <c r="F111">
        <v>206.19568881988499</v>
      </c>
      <c r="G111">
        <v>7387155</v>
      </c>
      <c r="H111">
        <v>2.4250000000000001E-2</v>
      </c>
      <c r="I111">
        <v>0</v>
      </c>
    </row>
    <row r="112" spans="1:9" x14ac:dyDescent="0.5">
      <c r="A112" s="1">
        <v>45460</v>
      </c>
      <c r="B112" s="28">
        <v>1.27166424627979E-3</v>
      </c>
      <c r="C112">
        <v>205.190178591207</v>
      </c>
      <c r="D112">
        <v>207.396400519541</v>
      </c>
      <c r="E112">
        <v>204.67581502456801</v>
      </c>
      <c r="F112">
        <v>206.60894498824999</v>
      </c>
      <c r="G112">
        <v>7960360</v>
      </c>
      <c r="H112">
        <v>0</v>
      </c>
      <c r="I112">
        <v>0</v>
      </c>
    </row>
    <row r="113" spans="1:9" x14ac:dyDescent="0.5">
      <c r="A113" s="1">
        <v>45461</v>
      </c>
      <c r="B113" s="28">
        <v>-5.8436817797929898E-4</v>
      </c>
      <c r="C113">
        <v>206.72933957195701</v>
      </c>
      <c r="D113">
        <v>208.27135799954101</v>
      </c>
      <c r="E113">
        <v>204.43631640242899</v>
      </c>
      <c r="F113">
        <v>206.348259067535</v>
      </c>
      <c r="G113">
        <v>11741720</v>
      </c>
      <c r="H113">
        <v>1.95E-2</v>
      </c>
      <c r="I113">
        <v>0</v>
      </c>
    </row>
    <row r="114" spans="1:9" x14ac:dyDescent="0.5">
      <c r="A114" s="1">
        <v>45463</v>
      </c>
      <c r="B114">
        <v>4.8484029301843297E-3</v>
      </c>
      <c r="C114">
        <v>206.24237095920401</v>
      </c>
      <c r="D114">
        <v>209.548575454385</v>
      </c>
      <c r="E114">
        <v>205.403802595717</v>
      </c>
      <c r="F114">
        <v>208.05989151000901</v>
      </c>
      <c r="G114">
        <v>9696920</v>
      </c>
      <c r="H114">
        <v>0</v>
      </c>
      <c r="I114">
        <v>0</v>
      </c>
    </row>
    <row r="115" spans="1:9" x14ac:dyDescent="0.5">
      <c r="A115" s="1">
        <v>45464</v>
      </c>
      <c r="B115" s="28">
        <v>5.6846744131343703E-3</v>
      </c>
      <c r="C115">
        <v>210.00172200979901</v>
      </c>
      <c r="D115">
        <v>211.81491907057301</v>
      </c>
      <c r="E115">
        <v>207.55083623354199</v>
      </c>
      <c r="F115">
        <v>209.692108821868</v>
      </c>
      <c r="G115">
        <v>22594055</v>
      </c>
      <c r="H115">
        <v>0</v>
      </c>
      <c r="I115">
        <v>0</v>
      </c>
    </row>
    <row r="116" spans="1:9" x14ac:dyDescent="0.5">
      <c r="A116" s="1">
        <v>45467</v>
      </c>
      <c r="B116">
        <v>2.6517192616320301E-3</v>
      </c>
      <c r="C116">
        <v>209.68294862088101</v>
      </c>
      <c r="D116">
        <v>212.63807968048101</v>
      </c>
      <c r="E116">
        <v>208.818623688397</v>
      </c>
      <c r="F116">
        <v>211.389364147186</v>
      </c>
      <c r="G116">
        <v>9892065</v>
      </c>
      <c r="H116">
        <v>0</v>
      </c>
      <c r="I116">
        <v>0</v>
      </c>
    </row>
    <row r="117" spans="1:9" x14ac:dyDescent="0.5">
      <c r="A117" s="1">
        <v>45468</v>
      </c>
      <c r="B117">
        <v>-1.9784776866781399E-4</v>
      </c>
      <c r="C117">
        <v>211.116767690807</v>
      </c>
      <c r="D117">
        <v>212.279219568759</v>
      </c>
      <c r="E117">
        <v>208.48443636063999</v>
      </c>
      <c r="F117">
        <v>209.92769613265901</v>
      </c>
      <c r="G117">
        <v>9593030</v>
      </c>
      <c r="H117">
        <v>0</v>
      </c>
      <c r="I117">
        <v>0</v>
      </c>
    </row>
    <row r="118" spans="1:9" x14ac:dyDescent="0.5">
      <c r="A118" s="1">
        <v>45469</v>
      </c>
      <c r="B118">
        <v>-1.5328659851473799E-3</v>
      </c>
      <c r="C118">
        <v>209.12506808059001</v>
      </c>
      <c r="D118">
        <v>210.40950212463699</v>
      </c>
      <c r="E118">
        <v>207.795024057962</v>
      </c>
      <c r="F118">
        <v>209.86871194839401</v>
      </c>
      <c r="G118">
        <v>7834180</v>
      </c>
      <c r="H118">
        <v>0</v>
      </c>
      <c r="I118">
        <v>0</v>
      </c>
    </row>
    <row r="119" spans="1:9" x14ac:dyDescent="0.5">
      <c r="A119" s="1">
        <v>45470</v>
      </c>
      <c r="B119">
        <v>-9.2768874958287198E-4</v>
      </c>
      <c r="C119">
        <v>208.904577727429</v>
      </c>
      <c r="D119">
        <v>209.90430606551601</v>
      </c>
      <c r="E119">
        <v>207.52688512505901</v>
      </c>
      <c r="F119">
        <v>208.65467557907101</v>
      </c>
      <c r="G119">
        <v>7078405</v>
      </c>
      <c r="H119">
        <v>0</v>
      </c>
      <c r="I119">
        <v>0</v>
      </c>
    </row>
    <row r="120" spans="1:9" x14ac:dyDescent="0.5">
      <c r="A120" s="1">
        <v>45471</v>
      </c>
      <c r="B120">
        <v>-7.2634989740824598E-3</v>
      </c>
      <c r="C120">
        <v>208.75143146639499</v>
      </c>
      <c r="D120">
        <v>210.60538377805901</v>
      </c>
      <c r="E120">
        <v>205.82975713907999</v>
      </c>
      <c r="F120">
        <v>207.135114765167</v>
      </c>
      <c r="G120">
        <v>12376265</v>
      </c>
      <c r="H120">
        <v>0</v>
      </c>
      <c r="I120">
        <v>0</v>
      </c>
    </row>
    <row r="121" spans="1:9" x14ac:dyDescent="0.5">
      <c r="A121" s="1">
        <v>45474</v>
      </c>
      <c r="B121">
        <v>-6.2586628314841098E-3</v>
      </c>
      <c r="C121">
        <v>207.676084817478</v>
      </c>
      <c r="D121">
        <v>209.178791517576</v>
      </c>
      <c r="E121">
        <v>204.757792760065</v>
      </c>
      <c r="F121">
        <v>206.31730413436799</v>
      </c>
      <c r="G121">
        <v>6898325</v>
      </c>
      <c r="H121">
        <v>0</v>
      </c>
      <c r="I121">
        <v>0</v>
      </c>
    </row>
    <row r="122" spans="1:9" x14ac:dyDescent="0.5">
      <c r="A122" s="1">
        <v>45475</v>
      </c>
      <c r="B122">
        <v>6.4322139715234305E-4</v>
      </c>
      <c r="C122">
        <v>205.83614516232601</v>
      </c>
      <c r="D122">
        <v>207.88272432216601</v>
      </c>
      <c r="E122">
        <v>204.573603949069</v>
      </c>
      <c r="F122">
        <v>206.446773433685</v>
      </c>
      <c r="G122">
        <v>6771570</v>
      </c>
      <c r="H122">
        <v>0</v>
      </c>
      <c r="I122">
        <v>0</v>
      </c>
    </row>
    <row r="123" spans="1:9" x14ac:dyDescent="0.5">
      <c r="A123" s="1">
        <v>45476</v>
      </c>
      <c r="B123">
        <v>1.60658480905979E-3</v>
      </c>
      <c r="C123">
        <v>207.081246361307</v>
      </c>
      <c r="D123">
        <v>208.45293792618</v>
      </c>
      <c r="E123">
        <v>206.297840803687</v>
      </c>
      <c r="F123">
        <v>207.63134174346899</v>
      </c>
      <c r="G123">
        <v>4728530</v>
      </c>
      <c r="H123">
        <v>0</v>
      </c>
      <c r="I123">
        <v>0</v>
      </c>
    </row>
    <row r="124" spans="1:9" x14ac:dyDescent="0.5">
      <c r="A124" s="1">
        <v>45478</v>
      </c>
      <c r="B124">
        <v>3.3216721196777398E-3</v>
      </c>
      <c r="C124">
        <v>207.96888090931799</v>
      </c>
      <c r="D124">
        <v>208.849740548032</v>
      </c>
      <c r="E124">
        <v>206.13672788178599</v>
      </c>
      <c r="F124">
        <v>208.33698263168299</v>
      </c>
      <c r="G124">
        <v>7365435</v>
      </c>
      <c r="H124">
        <v>0</v>
      </c>
      <c r="I124">
        <v>0</v>
      </c>
    </row>
    <row r="125" spans="1:9" x14ac:dyDescent="0.5">
      <c r="A125" s="1">
        <v>45481</v>
      </c>
      <c r="B125">
        <v>-5.7975923156414104E-3</v>
      </c>
      <c r="C125">
        <v>208.85023334895999</v>
      </c>
      <c r="D125">
        <v>210.195914988201</v>
      </c>
      <c r="E125">
        <v>205.84970821019999</v>
      </c>
      <c r="F125">
        <v>206.492331886291</v>
      </c>
      <c r="G125">
        <v>6910135</v>
      </c>
      <c r="H125">
        <v>0</v>
      </c>
      <c r="I125">
        <v>0</v>
      </c>
    </row>
    <row r="126" spans="1:9" x14ac:dyDescent="0.5">
      <c r="A126" s="1">
        <v>45482</v>
      </c>
      <c r="B126" s="28">
        <v>-9.63844056265156E-4</v>
      </c>
      <c r="C126">
        <v>206.479131380865</v>
      </c>
      <c r="D126">
        <v>208.256569234084</v>
      </c>
      <c r="E126">
        <v>203.979987814699</v>
      </c>
      <c r="F126">
        <v>206.280157089233</v>
      </c>
      <c r="G126">
        <v>7794970</v>
      </c>
      <c r="H126">
        <v>0</v>
      </c>
      <c r="I126">
        <v>0</v>
      </c>
    </row>
    <row r="127" spans="1:9" x14ac:dyDescent="0.5">
      <c r="A127" s="1">
        <v>45483</v>
      </c>
      <c r="B127">
        <v>1.19293020466934E-2</v>
      </c>
      <c r="C127">
        <v>206.13797927993599</v>
      </c>
      <c r="D127">
        <v>209.20157315104501</v>
      </c>
      <c r="E127">
        <v>205.14479595685199</v>
      </c>
      <c r="F127">
        <v>208.93442134857099</v>
      </c>
      <c r="G127">
        <v>7001080</v>
      </c>
      <c r="H127">
        <v>0</v>
      </c>
      <c r="I127">
        <v>0</v>
      </c>
    </row>
    <row r="128" spans="1:9" x14ac:dyDescent="0.5">
      <c r="A128" s="1">
        <v>45484</v>
      </c>
      <c r="B128" s="28">
        <v>4.5433765233465397E-3</v>
      </c>
      <c r="C128">
        <v>209.17824228325301</v>
      </c>
      <c r="D128">
        <v>211.740687198606</v>
      </c>
      <c r="E128">
        <v>207.530678460507</v>
      </c>
      <c r="F128">
        <v>210.224090194702</v>
      </c>
      <c r="G128">
        <v>8328115</v>
      </c>
      <c r="H128">
        <v>0</v>
      </c>
      <c r="I128">
        <v>0</v>
      </c>
    </row>
    <row r="129" spans="1:9" x14ac:dyDescent="0.5">
      <c r="A129" s="1">
        <v>45485</v>
      </c>
      <c r="B129">
        <v>7.1615103414382497E-4</v>
      </c>
      <c r="C129">
        <v>210.37622064112301</v>
      </c>
      <c r="D129">
        <v>212.410489069752</v>
      </c>
      <c r="E129">
        <v>208.953310588308</v>
      </c>
      <c r="F129">
        <v>210.30519323349</v>
      </c>
      <c r="G129">
        <v>7221750</v>
      </c>
      <c r="H129">
        <v>0</v>
      </c>
      <c r="I129">
        <v>0</v>
      </c>
    </row>
    <row r="130" spans="1:9" x14ac:dyDescent="0.5">
      <c r="A130" s="1">
        <v>45488</v>
      </c>
      <c r="B130">
        <v>1.0652320200539001E-3</v>
      </c>
      <c r="C130">
        <v>210.319965671707</v>
      </c>
      <c r="D130">
        <v>213.15605024045499</v>
      </c>
      <c r="E130">
        <v>208.64215405765299</v>
      </c>
      <c r="F130">
        <v>210.900789451599</v>
      </c>
      <c r="G130">
        <v>6276455</v>
      </c>
      <c r="H130">
        <v>0</v>
      </c>
      <c r="I130">
        <v>0</v>
      </c>
    </row>
    <row r="131" spans="1:9" x14ac:dyDescent="0.5">
      <c r="A131" s="1">
        <v>45489</v>
      </c>
      <c r="B131">
        <v>1.14014432336182E-2</v>
      </c>
      <c r="C131">
        <v>210.77865340849101</v>
      </c>
      <c r="D131">
        <v>215.171569528086</v>
      </c>
      <c r="E131">
        <v>209.66914650496801</v>
      </c>
      <c r="F131">
        <v>214.17554206848101</v>
      </c>
      <c r="G131">
        <v>6677300</v>
      </c>
      <c r="H131">
        <v>0</v>
      </c>
      <c r="I131">
        <v>0</v>
      </c>
    </row>
    <row r="132" spans="1:9" x14ac:dyDescent="0.5">
      <c r="A132" s="1">
        <v>45490</v>
      </c>
      <c r="B132">
        <v>3.0159251894416599E-3</v>
      </c>
      <c r="C132">
        <v>214.60219401728699</v>
      </c>
      <c r="D132">
        <v>217.230141395207</v>
      </c>
      <c r="E132">
        <v>213.393159515669</v>
      </c>
      <c r="F132">
        <v>215.71763792037899</v>
      </c>
      <c r="G132">
        <v>7341600</v>
      </c>
      <c r="H132">
        <v>0</v>
      </c>
      <c r="I132">
        <v>0</v>
      </c>
    </row>
    <row r="133" spans="1:9" x14ac:dyDescent="0.5">
      <c r="A133" s="1">
        <v>45491</v>
      </c>
      <c r="B133">
        <v>-1.02066753115763E-2</v>
      </c>
      <c r="C133">
        <v>214.29088448071701</v>
      </c>
      <c r="D133">
        <v>216.81264989993801</v>
      </c>
      <c r="E133">
        <v>211.54195831992001</v>
      </c>
      <c r="F133">
        <v>212.77160644531199</v>
      </c>
      <c r="G133">
        <v>7253160</v>
      </c>
      <c r="H133">
        <v>0</v>
      </c>
      <c r="I133">
        <v>0</v>
      </c>
    </row>
    <row r="134" spans="1:9" x14ac:dyDescent="0.5">
      <c r="A134" s="1">
        <v>45492</v>
      </c>
      <c r="B134">
        <v>-6.5018900821213503E-3</v>
      </c>
      <c r="C134">
        <v>213.73583956064701</v>
      </c>
      <c r="D134">
        <v>214.31333909997599</v>
      </c>
      <c r="E134">
        <v>210.00594498938901</v>
      </c>
      <c r="F134">
        <v>211.34918889999301</v>
      </c>
      <c r="G134">
        <v>6646320</v>
      </c>
      <c r="H134">
        <v>0</v>
      </c>
      <c r="I134">
        <v>0</v>
      </c>
    </row>
    <row r="135" spans="1:9" x14ac:dyDescent="0.5">
      <c r="A135" s="1">
        <v>45495</v>
      </c>
      <c r="B135">
        <v>8.4713269946830195E-3</v>
      </c>
      <c r="C135">
        <v>212.219621606386</v>
      </c>
      <c r="D135">
        <v>213.75216043371</v>
      </c>
      <c r="E135">
        <v>210.75881844140599</v>
      </c>
      <c r="F135">
        <v>213.17717380523601</v>
      </c>
      <c r="G135">
        <v>6531345</v>
      </c>
      <c r="H135">
        <v>0</v>
      </c>
      <c r="I135">
        <v>0</v>
      </c>
    </row>
    <row r="136" spans="1:9" x14ac:dyDescent="0.5">
      <c r="A136" s="1">
        <v>45496</v>
      </c>
      <c r="B136">
        <v>-8.8828249407065397E-3</v>
      </c>
      <c r="C136">
        <v>213.27919848935599</v>
      </c>
      <c r="D136">
        <v>214.58563997257599</v>
      </c>
      <c r="E136">
        <v>210.20412876315001</v>
      </c>
      <c r="F136">
        <v>211.20058822631799</v>
      </c>
      <c r="G136">
        <v>7460800</v>
      </c>
      <c r="H136">
        <v>0</v>
      </c>
      <c r="I136">
        <v>0</v>
      </c>
    </row>
    <row r="137" spans="1:9" x14ac:dyDescent="0.5">
      <c r="A137" s="1">
        <v>45497</v>
      </c>
      <c r="B137">
        <v>-1.5564844188401599E-2</v>
      </c>
      <c r="C137">
        <v>206.122256062811</v>
      </c>
      <c r="D137">
        <v>210.48378549973401</v>
      </c>
      <c r="E137">
        <v>205.013404561041</v>
      </c>
      <c r="F137">
        <v>208.237235736846</v>
      </c>
      <c r="G137">
        <v>11238850</v>
      </c>
      <c r="H137">
        <v>0</v>
      </c>
      <c r="I137">
        <v>0</v>
      </c>
    </row>
    <row r="138" spans="1:9" x14ac:dyDescent="0.5">
      <c r="A138" s="1">
        <v>45498</v>
      </c>
      <c r="B138">
        <v>-9.4098853725800308E-3</v>
      </c>
      <c r="C138">
        <v>208.54896585531199</v>
      </c>
      <c r="D138">
        <v>210.935321950185</v>
      </c>
      <c r="E138">
        <v>206.06071870113701</v>
      </c>
      <c r="F138">
        <v>207.33714733123699</v>
      </c>
      <c r="G138">
        <v>9826450</v>
      </c>
      <c r="H138">
        <v>0</v>
      </c>
      <c r="I138">
        <v>0</v>
      </c>
    </row>
    <row r="139" spans="1:9" x14ac:dyDescent="0.5">
      <c r="A139" s="1">
        <v>45499</v>
      </c>
      <c r="B139">
        <v>3.05575444216661E-2</v>
      </c>
      <c r="C139">
        <v>209.42437311632901</v>
      </c>
      <c r="D139">
        <v>212.98475575120099</v>
      </c>
      <c r="E139">
        <v>208.24451467219899</v>
      </c>
      <c r="F139">
        <v>211.281323337554</v>
      </c>
      <c r="G139">
        <v>11810655</v>
      </c>
      <c r="H139">
        <v>0</v>
      </c>
      <c r="I139">
        <v>0</v>
      </c>
    </row>
    <row r="140" spans="1:9" x14ac:dyDescent="0.5">
      <c r="A140" s="1">
        <v>45502</v>
      </c>
      <c r="B140">
        <v>1.1633985432110401E-2</v>
      </c>
      <c r="C140">
        <v>212.392732574033</v>
      </c>
      <c r="D140">
        <v>217.159101904849</v>
      </c>
      <c r="E140">
        <v>209.40712764230199</v>
      </c>
      <c r="F140">
        <v>214.604539489746</v>
      </c>
      <c r="G140">
        <v>9420135</v>
      </c>
      <c r="H140">
        <v>0</v>
      </c>
      <c r="I140">
        <v>0</v>
      </c>
    </row>
    <row r="141" spans="1:9" x14ac:dyDescent="0.5">
      <c r="A141" s="1">
        <v>45503</v>
      </c>
      <c r="B141">
        <v>1.01461522225526E-2</v>
      </c>
      <c r="C141">
        <v>215.300159668444</v>
      </c>
      <c r="D141">
        <v>219.417687129059</v>
      </c>
      <c r="E141">
        <v>214.36025817062</v>
      </c>
      <c r="F141">
        <v>218.25496158599799</v>
      </c>
      <c r="G141">
        <v>7748780</v>
      </c>
      <c r="H141">
        <v>0</v>
      </c>
      <c r="I141">
        <v>0</v>
      </c>
    </row>
    <row r="142" spans="1:9" x14ac:dyDescent="0.5">
      <c r="A142" s="1">
        <v>45504</v>
      </c>
      <c r="B142">
        <v>7.8522083430676293E-3</v>
      </c>
      <c r="C142">
        <v>218.30283335625299</v>
      </c>
      <c r="D142">
        <v>220.95778926684201</v>
      </c>
      <c r="E142">
        <v>216.87164301603801</v>
      </c>
      <c r="F142">
        <v>218.722660350799</v>
      </c>
      <c r="G142">
        <v>8749780</v>
      </c>
      <c r="H142">
        <v>0</v>
      </c>
      <c r="I142">
        <v>0</v>
      </c>
    </row>
    <row r="143" spans="1:9" x14ac:dyDescent="0.5">
      <c r="A143" s="1">
        <v>45505</v>
      </c>
      <c r="B143">
        <v>-3.2440913424059401E-3</v>
      </c>
      <c r="C143">
        <v>219.30525267354</v>
      </c>
      <c r="D143">
        <v>221.05922820754199</v>
      </c>
      <c r="E143">
        <v>215.216835774098</v>
      </c>
      <c r="F143">
        <v>218.94760828018099</v>
      </c>
      <c r="G143">
        <v>8332855</v>
      </c>
      <c r="H143">
        <v>0</v>
      </c>
      <c r="I143">
        <v>0</v>
      </c>
    </row>
    <row r="144" spans="1:9" x14ac:dyDescent="0.5">
      <c r="A144" s="1">
        <v>45506</v>
      </c>
      <c r="B144">
        <v>-4.45281228337007E-3</v>
      </c>
      <c r="C144">
        <v>217.55311534008101</v>
      </c>
      <c r="D144">
        <v>221.72294695497101</v>
      </c>
      <c r="E144">
        <v>214.43521269103499</v>
      </c>
      <c r="F144">
        <v>218.62074766159</v>
      </c>
      <c r="G144">
        <v>11505065</v>
      </c>
      <c r="H144">
        <v>0</v>
      </c>
      <c r="I144">
        <v>0</v>
      </c>
    </row>
    <row r="145" spans="1:9" x14ac:dyDescent="0.5">
      <c r="A145" s="1">
        <v>45509</v>
      </c>
      <c r="B145">
        <v>-2.9678477069132E-2</v>
      </c>
      <c r="C145">
        <v>212.95540671420801</v>
      </c>
      <c r="D145">
        <v>217.71147877793999</v>
      </c>
      <c r="E145">
        <v>208.53374225537601</v>
      </c>
      <c r="F145">
        <v>212.21311864852899</v>
      </c>
      <c r="G145">
        <v>13334525</v>
      </c>
      <c r="H145">
        <v>0</v>
      </c>
      <c r="I145">
        <v>0</v>
      </c>
    </row>
    <row r="146" spans="1:9" x14ac:dyDescent="0.5">
      <c r="A146" s="1">
        <v>45510</v>
      </c>
      <c r="B146">
        <v>4.2692522412722004E-3</v>
      </c>
      <c r="C146">
        <v>212.87120484689899</v>
      </c>
      <c r="D146">
        <v>216.47046605499901</v>
      </c>
      <c r="E146">
        <v>211.335606734913</v>
      </c>
      <c r="F146">
        <v>214.06324663162201</v>
      </c>
      <c r="G146">
        <v>11821870</v>
      </c>
      <c r="H146">
        <v>0</v>
      </c>
      <c r="I146">
        <v>0</v>
      </c>
    </row>
    <row r="147" spans="1:9" x14ac:dyDescent="0.5">
      <c r="A147" s="1">
        <v>45511</v>
      </c>
      <c r="B147">
        <v>-6.6487179563021904E-3</v>
      </c>
      <c r="C147">
        <v>215.26072005705501</v>
      </c>
      <c r="D147">
        <v>218.18059277977</v>
      </c>
      <c r="E147">
        <v>213.20714807040801</v>
      </c>
      <c r="F147">
        <v>213.694396877288</v>
      </c>
      <c r="G147">
        <v>9324625</v>
      </c>
      <c r="H147">
        <v>0</v>
      </c>
      <c r="I147">
        <v>0</v>
      </c>
    </row>
    <row r="148" spans="1:9" x14ac:dyDescent="0.5">
      <c r="A148" s="1">
        <v>45512</v>
      </c>
      <c r="B148">
        <v>1.5997482716626401E-2</v>
      </c>
      <c r="C148">
        <v>214.287771951026</v>
      </c>
      <c r="D148">
        <v>218.12546702213899</v>
      </c>
      <c r="E148">
        <v>213.79396921669201</v>
      </c>
      <c r="F148">
        <v>216.65475587844799</v>
      </c>
      <c r="G148">
        <v>7410280</v>
      </c>
      <c r="H148">
        <v>0</v>
      </c>
      <c r="I148">
        <v>0</v>
      </c>
    </row>
    <row r="149" spans="1:9" x14ac:dyDescent="0.5">
      <c r="A149" s="1">
        <v>45513</v>
      </c>
      <c r="B149">
        <v>-3.2715149158184E-3</v>
      </c>
      <c r="C149">
        <v>216.50101670356199</v>
      </c>
      <c r="D149">
        <v>217.846228264047</v>
      </c>
      <c r="E149">
        <v>214.05990212574901</v>
      </c>
      <c r="F149">
        <v>215.911780643463</v>
      </c>
      <c r="G149">
        <v>6842980</v>
      </c>
      <c r="H149">
        <v>5.1999999999999998E-2</v>
      </c>
      <c r="I149">
        <v>0</v>
      </c>
    </row>
    <row r="150" spans="1:9" x14ac:dyDescent="0.5">
      <c r="A150" s="1">
        <v>45516</v>
      </c>
      <c r="B150">
        <v>-1.7710386395116001E-3</v>
      </c>
      <c r="C150">
        <v>215.85371539149901</v>
      </c>
      <c r="D150">
        <v>217.11896852742001</v>
      </c>
      <c r="E150">
        <v>213.758239659823</v>
      </c>
      <c r="F150">
        <v>215.80223150253201</v>
      </c>
      <c r="G150">
        <v>8514340</v>
      </c>
      <c r="H150">
        <v>0</v>
      </c>
      <c r="I150">
        <v>0</v>
      </c>
    </row>
    <row r="151" spans="1:9" x14ac:dyDescent="0.5">
      <c r="A151" s="1">
        <v>45517</v>
      </c>
      <c r="B151">
        <v>1.0981583991950299E-2</v>
      </c>
      <c r="C151">
        <v>216.77982964408201</v>
      </c>
      <c r="D151">
        <v>218.33406437981299</v>
      </c>
      <c r="E151">
        <v>215.09057000510299</v>
      </c>
      <c r="F151">
        <v>217.29363746643</v>
      </c>
      <c r="G151">
        <v>7554050</v>
      </c>
      <c r="H151">
        <v>0</v>
      </c>
      <c r="I151">
        <v>0</v>
      </c>
    </row>
    <row r="152" spans="1:9" x14ac:dyDescent="0.5">
      <c r="A152" s="1">
        <v>45518</v>
      </c>
      <c r="B152" s="28">
        <v>1.26999961058577E-3</v>
      </c>
      <c r="C152">
        <v>217.06376609116199</v>
      </c>
      <c r="D152">
        <v>218.74758949819</v>
      </c>
      <c r="E152">
        <v>215.31301779484099</v>
      </c>
      <c r="F152">
        <v>218.107214927673</v>
      </c>
      <c r="G152">
        <v>8537585</v>
      </c>
      <c r="H152">
        <v>0</v>
      </c>
      <c r="I152">
        <v>0</v>
      </c>
    </row>
    <row r="153" spans="1:9" x14ac:dyDescent="0.5">
      <c r="A153" s="1">
        <v>45519</v>
      </c>
      <c r="B153">
        <v>1.7402665905293602E-2</v>
      </c>
      <c r="C153">
        <v>219.44784819952801</v>
      </c>
      <c r="D153">
        <v>221.85305786785301</v>
      </c>
      <c r="E153">
        <v>218.480918347943</v>
      </c>
      <c r="F153">
        <v>220.52418212890601</v>
      </c>
      <c r="G153">
        <v>7912800</v>
      </c>
      <c r="H153">
        <v>0</v>
      </c>
      <c r="I153">
        <v>0</v>
      </c>
    </row>
    <row r="154" spans="1:9" x14ac:dyDescent="0.5">
      <c r="A154" s="1">
        <v>45520</v>
      </c>
      <c r="B154">
        <v>7.1443903231003403E-3</v>
      </c>
      <c r="C154">
        <v>220.259872260066</v>
      </c>
      <c r="D154">
        <v>223.550614929619</v>
      </c>
      <c r="E154">
        <v>219.954321617365</v>
      </c>
      <c r="F154">
        <v>222.71036643981901</v>
      </c>
      <c r="G154">
        <v>6664265</v>
      </c>
      <c r="H154">
        <v>0</v>
      </c>
      <c r="I154">
        <v>0</v>
      </c>
    </row>
    <row r="155" spans="1:9" x14ac:dyDescent="0.5">
      <c r="A155" s="1">
        <v>45523</v>
      </c>
      <c r="B155">
        <v>1.65988895216602E-2</v>
      </c>
      <c r="C155">
        <v>224.55790238560101</v>
      </c>
      <c r="D155">
        <v>227.56016924873899</v>
      </c>
      <c r="E155">
        <v>223.57771969117701</v>
      </c>
      <c r="F155">
        <v>226.65837383270201</v>
      </c>
      <c r="G155">
        <v>7176670</v>
      </c>
      <c r="H155">
        <v>0</v>
      </c>
      <c r="I155">
        <v>0</v>
      </c>
    </row>
    <row r="156" spans="1:9" x14ac:dyDescent="0.5">
      <c r="A156" s="1">
        <v>45524</v>
      </c>
      <c r="B156">
        <v>-3.3261668251002899E-3</v>
      </c>
      <c r="C156">
        <v>226.21888901339099</v>
      </c>
      <c r="D156">
        <v>228.154808516109</v>
      </c>
      <c r="E156">
        <v>224.76955779146701</v>
      </c>
      <c r="F156">
        <v>225.43826255798299</v>
      </c>
      <c r="G156">
        <v>6545120</v>
      </c>
      <c r="H156">
        <v>0</v>
      </c>
      <c r="I156">
        <v>0</v>
      </c>
    </row>
    <row r="157" spans="1:9" x14ac:dyDescent="0.5">
      <c r="A157" s="1">
        <v>45525</v>
      </c>
      <c r="B157">
        <v>7.01497005430374E-3</v>
      </c>
      <c r="C157">
        <v>226.13177694928001</v>
      </c>
      <c r="D157">
        <v>227.88052896754701</v>
      </c>
      <c r="E157">
        <v>225.00191492593299</v>
      </c>
      <c r="F157">
        <v>227.03455295562699</v>
      </c>
      <c r="G157">
        <v>6084450</v>
      </c>
      <c r="H157">
        <v>0</v>
      </c>
      <c r="I157">
        <v>0</v>
      </c>
    </row>
    <row r="158" spans="1:9" x14ac:dyDescent="0.5">
      <c r="A158" s="1">
        <v>45526</v>
      </c>
      <c r="B158">
        <v>-3.2974265513042601E-3</v>
      </c>
      <c r="C158">
        <v>227.24814807086901</v>
      </c>
      <c r="D158">
        <v>228.06865809313399</v>
      </c>
      <c r="E158">
        <v>225.44046505771999</v>
      </c>
      <c r="F158">
        <v>226.64259834289501</v>
      </c>
      <c r="G158">
        <v>5419555</v>
      </c>
      <c r="H158">
        <v>0</v>
      </c>
      <c r="I158">
        <v>0</v>
      </c>
    </row>
    <row r="159" spans="1:9" x14ac:dyDescent="0.5">
      <c r="A159" s="1">
        <v>45527</v>
      </c>
      <c r="B159">
        <v>9.0621246820180995E-3</v>
      </c>
      <c r="C159">
        <v>227.88326696507499</v>
      </c>
      <c r="D159">
        <v>229.40286389598199</v>
      </c>
      <c r="E159">
        <v>225.78595232931801</v>
      </c>
      <c r="F159">
        <v>228.33948678970299</v>
      </c>
      <c r="G159">
        <v>4846390</v>
      </c>
      <c r="H159">
        <v>0</v>
      </c>
      <c r="I159">
        <v>0</v>
      </c>
    </row>
    <row r="160" spans="1:9" x14ac:dyDescent="0.5">
      <c r="A160" s="1">
        <v>45530</v>
      </c>
      <c r="B160" s="28">
        <v>1.2074192181049401E-3</v>
      </c>
      <c r="C160">
        <v>228.60616883881701</v>
      </c>
      <c r="D160">
        <v>230.60347097367199</v>
      </c>
      <c r="E160">
        <v>227.13727553387699</v>
      </c>
      <c r="F160">
        <v>228.22991952896101</v>
      </c>
      <c r="G160">
        <v>4930325</v>
      </c>
      <c r="H160">
        <v>6.9999999999999896E-2</v>
      </c>
      <c r="I160">
        <v>0</v>
      </c>
    </row>
    <row r="161" spans="1:9" x14ac:dyDescent="0.5">
      <c r="A161" s="1">
        <v>45531</v>
      </c>
      <c r="B161">
        <v>7.54114406000361E-4</v>
      </c>
      <c r="C161">
        <v>228.33816063869301</v>
      </c>
      <c r="D161">
        <v>229.669922868415</v>
      </c>
      <c r="E161">
        <v>227.55275582092099</v>
      </c>
      <c r="F161">
        <v>228.63036336898799</v>
      </c>
      <c r="G161">
        <v>5381295</v>
      </c>
      <c r="H161">
        <v>0</v>
      </c>
      <c r="I161">
        <v>0</v>
      </c>
    </row>
    <row r="162" spans="1:9" x14ac:dyDescent="0.5">
      <c r="A162" s="1">
        <v>45532</v>
      </c>
      <c r="B162" s="28">
        <v>-6.4787257533882904E-3</v>
      </c>
      <c r="C162">
        <v>228.75860808114399</v>
      </c>
      <c r="D162">
        <v>229.631917373269</v>
      </c>
      <c r="E162">
        <v>225.31611326827499</v>
      </c>
      <c r="F162">
        <v>226.892725276947</v>
      </c>
      <c r="G162">
        <v>5681660</v>
      </c>
      <c r="H162">
        <v>0</v>
      </c>
      <c r="I162">
        <v>0</v>
      </c>
    </row>
    <row r="163" spans="1:9" x14ac:dyDescent="0.5">
      <c r="A163" s="1">
        <v>45533</v>
      </c>
      <c r="B163">
        <v>2.39294535899191E-3</v>
      </c>
      <c r="C163">
        <v>227.77863393729999</v>
      </c>
      <c r="D163">
        <v>229.87461215903801</v>
      </c>
      <c r="E163">
        <v>225.53576489521899</v>
      </c>
      <c r="F163">
        <v>228.39166507720901</v>
      </c>
      <c r="G163">
        <v>5995110</v>
      </c>
      <c r="H163">
        <v>0</v>
      </c>
      <c r="I163">
        <v>0</v>
      </c>
    </row>
    <row r="164" spans="1:9" x14ac:dyDescent="0.5">
      <c r="A164" s="1">
        <v>45534</v>
      </c>
      <c r="B164">
        <v>1.06405852241981E-2</v>
      </c>
      <c r="C164">
        <v>228.590174025815</v>
      </c>
      <c r="D164">
        <v>230.026404245089</v>
      </c>
      <c r="E164">
        <v>227.57957352998901</v>
      </c>
      <c r="F164">
        <v>229.69041481017999</v>
      </c>
      <c r="G164">
        <v>8327300</v>
      </c>
      <c r="H164">
        <v>0.3</v>
      </c>
      <c r="I164">
        <v>0</v>
      </c>
    </row>
    <row r="165" spans="1:9" x14ac:dyDescent="0.5">
      <c r="A165" s="1">
        <v>45538</v>
      </c>
      <c r="B165" s="28">
        <v>-1.42938860765611E-2</v>
      </c>
      <c r="C165">
        <v>228.81199732998999</v>
      </c>
      <c r="D165">
        <v>230.502861551271</v>
      </c>
      <c r="E165">
        <v>224.685495101328</v>
      </c>
      <c r="F165">
        <v>226.03682060241701</v>
      </c>
      <c r="G165">
        <v>9462265</v>
      </c>
      <c r="H165">
        <v>0.66800000000000004</v>
      </c>
      <c r="I165">
        <v>0</v>
      </c>
    </row>
    <row r="166" spans="1:9" x14ac:dyDescent="0.5">
      <c r="A166" s="1">
        <v>45539</v>
      </c>
      <c r="B166">
        <v>2.6936063903570499E-3</v>
      </c>
      <c r="C166">
        <v>226.34915485559199</v>
      </c>
      <c r="D166">
        <v>228.98647242834801</v>
      </c>
      <c r="E166">
        <v>225.89654168747899</v>
      </c>
      <c r="F166">
        <v>227.52778015136701</v>
      </c>
      <c r="G166">
        <v>8241105</v>
      </c>
      <c r="H166">
        <v>0</v>
      </c>
      <c r="I166">
        <v>0</v>
      </c>
    </row>
    <row r="167" spans="1:9" x14ac:dyDescent="0.5">
      <c r="A167" s="1">
        <v>45540</v>
      </c>
      <c r="B167">
        <v>-1.1363312616401E-2</v>
      </c>
      <c r="C167">
        <v>227.98602436029699</v>
      </c>
      <c r="D167">
        <v>229.021027399318</v>
      </c>
      <c r="E167">
        <v>225.19299713909101</v>
      </c>
      <c r="F167">
        <v>226.80831108093199</v>
      </c>
      <c r="G167">
        <v>9490875</v>
      </c>
      <c r="H167">
        <v>0</v>
      </c>
      <c r="I167">
        <v>0</v>
      </c>
    </row>
    <row r="168" spans="1:9" x14ac:dyDescent="0.5">
      <c r="A168" s="1">
        <v>45541</v>
      </c>
      <c r="B168" s="28">
        <v>-6.3934594352000598E-3</v>
      </c>
      <c r="C168">
        <v>226.43273862854099</v>
      </c>
      <c r="D168">
        <v>229.59267706084</v>
      </c>
      <c r="E168">
        <v>224.37773659816401</v>
      </c>
      <c r="F168">
        <v>225.74410181045499</v>
      </c>
      <c r="G168">
        <v>9916805</v>
      </c>
      <c r="H168">
        <v>0</v>
      </c>
      <c r="I168">
        <v>0</v>
      </c>
    </row>
    <row r="169" spans="1:9" x14ac:dyDescent="0.5">
      <c r="A169" s="1">
        <v>45544</v>
      </c>
      <c r="B169">
        <v>6.2166488310569402E-3</v>
      </c>
      <c r="C169">
        <v>227.08872335018401</v>
      </c>
      <c r="D169">
        <v>229.47425203956601</v>
      </c>
      <c r="E169">
        <v>225.267551494202</v>
      </c>
      <c r="F169">
        <v>227.806952667236</v>
      </c>
      <c r="G169">
        <v>9536845</v>
      </c>
      <c r="H169">
        <v>0.02</v>
      </c>
      <c r="I169">
        <v>0</v>
      </c>
    </row>
    <row r="170" spans="1:9" x14ac:dyDescent="0.5">
      <c r="A170" s="1">
        <v>45545</v>
      </c>
      <c r="B170">
        <v>-1.6267957441076199E-2</v>
      </c>
      <c r="C170">
        <v>228.542618454521</v>
      </c>
      <c r="D170">
        <v>230.220599198836</v>
      </c>
      <c r="E170">
        <v>224.50539579724699</v>
      </c>
      <c r="F170">
        <v>225.549041032791</v>
      </c>
      <c r="G170">
        <v>16387080</v>
      </c>
      <c r="H170">
        <v>0</v>
      </c>
      <c r="I170">
        <v>0</v>
      </c>
    </row>
    <row r="171" spans="1:9" x14ac:dyDescent="0.5">
      <c r="A171" s="1">
        <v>45546</v>
      </c>
      <c r="B171">
        <v>3.20890517927122E-3</v>
      </c>
      <c r="C171">
        <v>225.08345952347901</v>
      </c>
      <c r="D171">
        <v>226.433067712998</v>
      </c>
      <c r="E171">
        <v>221.19566145308301</v>
      </c>
      <c r="F171">
        <v>225.68382549285801</v>
      </c>
      <c r="G171">
        <v>16444400</v>
      </c>
      <c r="H171">
        <v>0</v>
      </c>
      <c r="I171">
        <v>0</v>
      </c>
    </row>
    <row r="172" spans="1:9" x14ac:dyDescent="0.5">
      <c r="A172" s="1">
        <v>45547</v>
      </c>
      <c r="B172">
        <v>1.2062030304961901E-2</v>
      </c>
      <c r="C172">
        <v>225.93763153854599</v>
      </c>
      <c r="D172">
        <v>227.89748617491401</v>
      </c>
      <c r="E172">
        <v>224.1551965809</v>
      </c>
      <c r="F172">
        <v>227.56995239257799</v>
      </c>
      <c r="G172">
        <v>11752820</v>
      </c>
      <c r="H172">
        <v>0</v>
      </c>
      <c r="I172">
        <v>0</v>
      </c>
    </row>
    <row r="173" spans="1:9" x14ac:dyDescent="0.5">
      <c r="A173" s="1">
        <v>45548</v>
      </c>
      <c r="B173">
        <v>1.3164694520257401E-2</v>
      </c>
      <c r="C173">
        <v>228.803489386092</v>
      </c>
      <c r="D173">
        <v>231.05609598697299</v>
      </c>
      <c r="E173">
        <v>227.807678535131</v>
      </c>
      <c r="F173">
        <v>230.40080423355101</v>
      </c>
      <c r="G173">
        <v>8313620</v>
      </c>
      <c r="H173">
        <v>2.4250000000000001E-2</v>
      </c>
      <c r="I173">
        <v>0</v>
      </c>
    </row>
    <row r="174" spans="1:9" x14ac:dyDescent="0.5">
      <c r="A174" s="1">
        <v>45551</v>
      </c>
      <c r="B174">
        <v>5.2308462658802197E-3</v>
      </c>
      <c r="C174">
        <v>231.10794249384901</v>
      </c>
      <c r="D174">
        <v>233.38088956654801</v>
      </c>
      <c r="E174">
        <v>229.833083257314</v>
      </c>
      <c r="F174">
        <v>231.644079113006</v>
      </c>
      <c r="G174">
        <v>6688145</v>
      </c>
      <c r="H174">
        <v>0</v>
      </c>
      <c r="I174">
        <v>0</v>
      </c>
    </row>
    <row r="175" spans="1:9" x14ac:dyDescent="0.5">
      <c r="A175" s="1">
        <v>45552</v>
      </c>
      <c r="B175">
        <v>4.7165804169628997E-3</v>
      </c>
      <c r="C175">
        <v>232.23749144400699</v>
      </c>
      <c r="D175">
        <v>233.05646726241599</v>
      </c>
      <c r="E175">
        <v>229.31408628754599</v>
      </c>
      <c r="F175">
        <v>230.74950237274101</v>
      </c>
      <c r="G175">
        <v>9232940</v>
      </c>
      <c r="H175">
        <v>0</v>
      </c>
      <c r="I175">
        <v>0</v>
      </c>
    </row>
    <row r="176" spans="1:9" x14ac:dyDescent="0.5">
      <c r="A176" s="1">
        <v>45553</v>
      </c>
      <c r="B176">
        <v>-2.6257123532948501E-3</v>
      </c>
      <c r="C176">
        <v>230.86829993330801</v>
      </c>
      <c r="D176">
        <v>232.368128488145</v>
      </c>
      <c r="E176">
        <v>228.38851123610999</v>
      </c>
      <c r="F176">
        <v>229.712744331359</v>
      </c>
      <c r="G176">
        <v>7339100</v>
      </c>
      <c r="H176">
        <v>0</v>
      </c>
      <c r="I176">
        <v>0</v>
      </c>
    </row>
    <row r="177" spans="1:9" x14ac:dyDescent="0.5">
      <c r="A177" s="1">
        <v>45554</v>
      </c>
      <c r="B177">
        <v>1.19863780510444E-2</v>
      </c>
      <c r="C177">
        <v>232.43633025292499</v>
      </c>
      <c r="D177">
        <v>234.13356680922101</v>
      </c>
      <c r="E177">
        <v>229.749872860251</v>
      </c>
      <c r="F177">
        <v>232.367343235015</v>
      </c>
      <c r="G177">
        <v>8425335</v>
      </c>
      <c r="H177">
        <v>1.95E-2</v>
      </c>
      <c r="I177">
        <v>0</v>
      </c>
    </row>
    <row r="178" spans="1:9" x14ac:dyDescent="0.5">
      <c r="A178" s="1">
        <v>45555</v>
      </c>
      <c r="B178">
        <v>4.81292271485095E-3</v>
      </c>
      <c r="C178">
        <v>231.69874446632301</v>
      </c>
      <c r="D178">
        <v>234.380117026047</v>
      </c>
      <c r="E178">
        <v>230.74692000527199</v>
      </c>
      <c r="F178">
        <v>233.255207252502</v>
      </c>
      <c r="G178">
        <v>17823245</v>
      </c>
      <c r="H178">
        <v>0</v>
      </c>
      <c r="I178">
        <v>0</v>
      </c>
    </row>
    <row r="179" spans="1:9" x14ac:dyDescent="0.5">
      <c r="A179" s="1">
        <v>45558</v>
      </c>
      <c r="B179">
        <v>3.9601680007102704E-3</v>
      </c>
      <c r="C179">
        <v>234.180116351316</v>
      </c>
      <c r="D179">
        <v>235.67719525271801</v>
      </c>
      <c r="E179">
        <v>232.692861807247</v>
      </c>
      <c r="F179">
        <v>234.35189485549901</v>
      </c>
      <c r="G179">
        <v>6631240</v>
      </c>
      <c r="H179">
        <v>0</v>
      </c>
      <c r="I179">
        <v>0</v>
      </c>
    </row>
    <row r="180" spans="1:9" x14ac:dyDescent="0.5">
      <c r="A180" s="1">
        <v>45559</v>
      </c>
      <c r="B180">
        <v>-2.19428134000776E-3</v>
      </c>
      <c r="C180">
        <v>233.71814503651601</v>
      </c>
      <c r="D180">
        <v>235.150620703756</v>
      </c>
      <c r="E180">
        <v>231.77786769953099</v>
      </c>
      <c r="F180">
        <v>233.501290798187</v>
      </c>
      <c r="G180">
        <v>7273290</v>
      </c>
      <c r="H180">
        <v>0</v>
      </c>
      <c r="I180">
        <v>0</v>
      </c>
    </row>
    <row r="181" spans="1:9" x14ac:dyDescent="0.5">
      <c r="A181" s="1">
        <v>45560</v>
      </c>
      <c r="B181">
        <v>4.5761433230440398E-3</v>
      </c>
      <c r="C181">
        <v>233.77312956749299</v>
      </c>
      <c r="D181">
        <v>234.986357429897</v>
      </c>
      <c r="E181">
        <v>231.42275465489101</v>
      </c>
      <c r="F181">
        <v>232.58698682785001</v>
      </c>
      <c r="G181">
        <v>8650980</v>
      </c>
      <c r="H181">
        <v>0</v>
      </c>
      <c r="I181">
        <v>0</v>
      </c>
    </row>
    <row r="182" spans="1:9" x14ac:dyDescent="0.5">
      <c r="A182" s="1">
        <v>45561</v>
      </c>
      <c r="B182">
        <v>1.27644658703195E-2</v>
      </c>
      <c r="C182">
        <v>233.56987955059799</v>
      </c>
      <c r="D182">
        <v>235.976091394364</v>
      </c>
      <c r="E182">
        <v>233.02876851964299</v>
      </c>
      <c r="F182">
        <v>235.12287359237601</v>
      </c>
      <c r="G182">
        <v>7508090</v>
      </c>
      <c r="H182">
        <v>0</v>
      </c>
      <c r="I182">
        <v>0</v>
      </c>
    </row>
    <row r="183" spans="1:9" x14ac:dyDescent="0.5">
      <c r="A183" s="1">
        <v>45562</v>
      </c>
      <c r="B183">
        <v>-4.0625898006296199E-4</v>
      </c>
      <c r="C183">
        <v>235.40876875702901</v>
      </c>
      <c r="D183">
        <v>238.26490978171199</v>
      </c>
      <c r="E183">
        <v>234.79508670398201</v>
      </c>
      <c r="F183">
        <v>235.54193487167299</v>
      </c>
      <c r="G183">
        <v>6678135</v>
      </c>
      <c r="H183">
        <v>0</v>
      </c>
      <c r="I183">
        <v>0</v>
      </c>
    </row>
    <row r="184" spans="1:9" x14ac:dyDescent="0.5">
      <c r="A184" s="1">
        <v>45565</v>
      </c>
      <c r="B184">
        <v>3.4720262005379999E-3</v>
      </c>
      <c r="C184">
        <v>235.18005214986999</v>
      </c>
      <c r="D184">
        <v>236.29133133642901</v>
      </c>
      <c r="E184">
        <v>233.437198914128</v>
      </c>
      <c r="F184">
        <v>235.688918590545</v>
      </c>
      <c r="G184">
        <v>7539725</v>
      </c>
      <c r="H184">
        <v>0</v>
      </c>
      <c r="I184">
        <v>0</v>
      </c>
    </row>
    <row r="185" spans="1:9" x14ac:dyDescent="0.5">
      <c r="A185" s="1">
        <v>45566</v>
      </c>
      <c r="B185">
        <v>-4.9363653186585803E-3</v>
      </c>
      <c r="C185">
        <v>235.94432909725299</v>
      </c>
      <c r="D185">
        <v>236.76211398570101</v>
      </c>
      <c r="E185">
        <v>233.26215480196601</v>
      </c>
      <c r="F185">
        <v>234.91426782607999</v>
      </c>
      <c r="G185">
        <v>7969445</v>
      </c>
      <c r="H185">
        <v>0</v>
      </c>
      <c r="I185">
        <v>0</v>
      </c>
    </row>
    <row r="186" spans="1:9" x14ac:dyDescent="0.5">
      <c r="A186" s="1">
        <v>45567</v>
      </c>
      <c r="B186">
        <v>2.9662365550853398E-3</v>
      </c>
      <c r="C186">
        <v>233.90177677519301</v>
      </c>
      <c r="D186">
        <v>235.98803332794401</v>
      </c>
      <c r="E186">
        <v>232.649515038179</v>
      </c>
      <c r="F186">
        <v>235.11937990188599</v>
      </c>
      <c r="G186">
        <v>6083580</v>
      </c>
      <c r="H186">
        <v>0</v>
      </c>
      <c r="I186">
        <v>0</v>
      </c>
    </row>
    <row r="187" spans="1:9" x14ac:dyDescent="0.5">
      <c r="A187" s="1">
        <v>45568</v>
      </c>
      <c r="B187">
        <v>-3.5784739588915998E-3</v>
      </c>
      <c r="C187">
        <v>234.56464700424999</v>
      </c>
      <c r="D187">
        <v>235.28747734554199</v>
      </c>
      <c r="E187">
        <v>232.79085552588401</v>
      </c>
      <c r="F187">
        <v>234.28052129745399</v>
      </c>
      <c r="G187">
        <v>5012900</v>
      </c>
      <c r="H187">
        <v>0</v>
      </c>
      <c r="I187">
        <v>0</v>
      </c>
    </row>
    <row r="188" spans="1:9" x14ac:dyDescent="0.5">
      <c r="A188" s="1">
        <v>45569</v>
      </c>
      <c r="B188">
        <v>5.4880024093600498E-3</v>
      </c>
      <c r="C188">
        <v>235.471944856596</v>
      </c>
      <c r="D188">
        <v>236.83487741116201</v>
      </c>
      <c r="E188">
        <v>233.10557614579699</v>
      </c>
      <c r="F188">
        <v>235.609131813049</v>
      </c>
      <c r="G188">
        <v>5627990</v>
      </c>
      <c r="H188">
        <v>0</v>
      </c>
      <c r="I188">
        <v>0</v>
      </c>
    </row>
    <row r="189" spans="1:9" x14ac:dyDescent="0.5">
      <c r="A189" s="1">
        <v>45572</v>
      </c>
      <c r="B189">
        <v>-7.2640242558686804E-3</v>
      </c>
      <c r="C189">
        <v>235.51166050025401</v>
      </c>
      <c r="D189">
        <v>236.69092902147801</v>
      </c>
      <c r="E189">
        <v>232.541733531934</v>
      </c>
      <c r="F189">
        <v>233.50537414550701</v>
      </c>
      <c r="G189">
        <v>6229505</v>
      </c>
      <c r="H189">
        <v>0</v>
      </c>
      <c r="I189">
        <v>0</v>
      </c>
    </row>
    <row r="190" spans="1:9" x14ac:dyDescent="0.5">
      <c r="A190" s="1">
        <v>45573</v>
      </c>
      <c r="B190">
        <v>3.8721012682709E-3</v>
      </c>
      <c r="C190">
        <v>234.626672462111</v>
      </c>
      <c r="D190">
        <v>235.35199488090601</v>
      </c>
      <c r="E190">
        <v>232.958971788752</v>
      </c>
      <c r="F190">
        <v>234.38610610961899</v>
      </c>
      <c r="G190">
        <v>6393365</v>
      </c>
      <c r="H190">
        <v>0</v>
      </c>
      <c r="I190">
        <v>0</v>
      </c>
    </row>
    <row r="191" spans="1:9" x14ac:dyDescent="0.5">
      <c r="A191" s="1">
        <v>45574</v>
      </c>
      <c r="B191">
        <v>3.1355467739108099E-3</v>
      </c>
      <c r="C191">
        <v>234.84435616519301</v>
      </c>
      <c r="D191">
        <v>237.00102517396101</v>
      </c>
      <c r="E191">
        <v>233.639523237677</v>
      </c>
      <c r="F191">
        <v>235.99800128936701</v>
      </c>
      <c r="G191">
        <v>6782550</v>
      </c>
      <c r="H191">
        <v>0</v>
      </c>
      <c r="I191">
        <v>0</v>
      </c>
    </row>
    <row r="192" spans="1:9" x14ac:dyDescent="0.5">
      <c r="A192" s="1">
        <v>45575</v>
      </c>
      <c r="B192">
        <v>-3.28984662547389E-3</v>
      </c>
      <c r="C192">
        <v>236.00975917702399</v>
      </c>
      <c r="D192">
        <v>237.101286826907</v>
      </c>
      <c r="E192">
        <v>234.46960000094001</v>
      </c>
      <c r="F192">
        <v>235.794776535034</v>
      </c>
      <c r="G192">
        <v>6154825</v>
      </c>
      <c r="H192">
        <v>0</v>
      </c>
      <c r="I192">
        <v>0</v>
      </c>
    </row>
    <row r="193" spans="1:9" x14ac:dyDescent="0.5">
      <c r="A193" s="1">
        <v>45576</v>
      </c>
      <c r="B193">
        <v>6.8090637110893998E-3</v>
      </c>
      <c r="C193">
        <v>236.239781738635</v>
      </c>
      <c r="D193">
        <v>238.31729731980499</v>
      </c>
      <c r="E193">
        <v>235.42640540709999</v>
      </c>
      <c r="F193">
        <v>237.77002019882201</v>
      </c>
      <c r="G193">
        <v>4983145</v>
      </c>
      <c r="H193">
        <v>0</v>
      </c>
      <c r="I193">
        <v>0</v>
      </c>
    </row>
    <row r="194" spans="1:9" x14ac:dyDescent="0.5">
      <c r="A194" s="1">
        <v>45579</v>
      </c>
      <c r="B194">
        <v>1.12851206889573E-2</v>
      </c>
      <c r="C194">
        <v>238.074988716452</v>
      </c>
      <c r="D194">
        <v>241.44943761960201</v>
      </c>
      <c r="E194">
        <v>237.42303615085501</v>
      </c>
      <c r="F194">
        <v>240.937771987915</v>
      </c>
      <c r="G194">
        <v>5296030</v>
      </c>
      <c r="H194">
        <v>0</v>
      </c>
      <c r="I194">
        <v>0</v>
      </c>
    </row>
    <row r="195" spans="1:9" x14ac:dyDescent="0.5">
      <c r="A195" s="1">
        <v>45580</v>
      </c>
      <c r="B195">
        <v>4.3782684613782501E-3</v>
      </c>
      <c r="C195">
        <v>243.565094160504</v>
      </c>
      <c r="D195">
        <v>245.60711397618999</v>
      </c>
      <c r="E195">
        <v>240.36987317330599</v>
      </c>
      <c r="F195">
        <v>242.21169919967599</v>
      </c>
      <c r="G195">
        <v>7203705</v>
      </c>
      <c r="H195">
        <v>0</v>
      </c>
      <c r="I195">
        <v>0</v>
      </c>
    </row>
    <row r="196" spans="1:9" x14ac:dyDescent="0.5">
      <c r="A196" s="1">
        <v>45581</v>
      </c>
      <c r="B196">
        <v>5.3663385980865898E-3</v>
      </c>
      <c r="C196">
        <v>242.78925144033701</v>
      </c>
      <c r="D196">
        <v>244.80094716102599</v>
      </c>
      <c r="E196">
        <v>240.947935596707</v>
      </c>
      <c r="F196">
        <v>243.680596351623</v>
      </c>
      <c r="G196">
        <v>6217160</v>
      </c>
      <c r="H196">
        <v>0</v>
      </c>
      <c r="I196">
        <v>0</v>
      </c>
    </row>
    <row r="197" spans="1:9" x14ac:dyDescent="0.5">
      <c r="A197" s="1">
        <v>45582</v>
      </c>
      <c r="B197">
        <v>1.15395773426051E-3</v>
      </c>
      <c r="C197">
        <v>244.42309593284901</v>
      </c>
      <c r="D197">
        <v>245.59084322737499</v>
      </c>
      <c r="E197">
        <v>242.906317608856</v>
      </c>
      <c r="F197">
        <v>244.27780590057299</v>
      </c>
      <c r="G197">
        <v>6894850</v>
      </c>
      <c r="H197">
        <v>0</v>
      </c>
      <c r="I197">
        <v>0</v>
      </c>
    </row>
    <row r="198" spans="1:9" x14ac:dyDescent="0.5">
      <c r="A198" s="1">
        <v>45583</v>
      </c>
      <c r="B198">
        <v>8.4701990389829905E-4</v>
      </c>
      <c r="C198">
        <v>244.65669480621699</v>
      </c>
      <c r="D198">
        <v>245.78398647073101</v>
      </c>
      <c r="E198">
        <v>243.42530036371201</v>
      </c>
      <c r="F198">
        <v>244.979477882385</v>
      </c>
      <c r="G198">
        <v>6299155</v>
      </c>
      <c r="H198">
        <v>0</v>
      </c>
      <c r="I198">
        <v>0</v>
      </c>
    </row>
    <row r="199" spans="1:9" x14ac:dyDescent="0.5">
      <c r="A199" s="1">
        <v>45586</v>
      </c>
      <c r="B199">
        <v>-1.1178881967810301E-2</v>
      </c>
      <c r="C199">
        <v>244.99904431092401</v>
      </c>
      <c r="D199">
        <v>245.803359823542</v>
      </c>
      <c r="E199">
        <v>242.145816763943</v>
      </c>
      <c r="F199">
        <v>242.742582035064</v>
      </c>
      <c r="G199">
        <v>7315515</v>
      </c>
      <c r="H199">
        <v>0</v>
      </c>
      <c r="I199">
        <v>0</v>
      </c>
    </row>
    <row r="200" spans="1:9" x14ac:dyDescent="0.5">
      <c r="A200" s="1">
        <v>45587</v>
      </c>
      <c r="B200">
        <v>-3.13083503749636E-3</v>
      </c>
      <c r="C200">
        <v>242.40930960183599</v>
      </c>
      <c r="D200">
        <v>244.06688820052599</v>
      </c>
      <c r="E200">
        <v>240.67957076273001</v>
      </c>
      <c r="F200">
        <v>242.29052915573101</v>
      </c>
      <c r="G200">
        <v>8650125</v>
      </c>
      <c r="H200">
        <v>0</v>
      </c>
      <c r="I200">
        <v>0</v>
      </c>
    </row>
    <row r="201" spans="1:9" x14ac:dyDescent="0.5">
      <c r="A201" s="1">
        <v>45588</v>
      </c>
      <c r="B201">
        <v>-3.0803614177497399E-2</v>
      </c>
      <c r="C201">
        <v>233.17662358921601</v>
      </c>
      <c r="D201">
        <v>237.41799110628199</v>
      </c>
      <c r="E201">
        <v>230.98824572614501</v>
      </c>
      <c r="F201">
        <v>234.85334634780801</v>
      </c>
      <c r="G201">
        <v>13550950</v>
      </c>
      <c r="H201">
        <v>0</v>
      </c>
      <c r="I201">
        <v>0</v>
      </c>
    </row>
    <row r="202" spans="1:9" x14ac:dyDescent="0.5">
      <c r="A202" s="1">
        <v>45589</v>
      </c>
      <c r="B202">
        <v>4.2681443430529703E-3</v>
      </c>
      <c r="C202">
        <v>235.13273078829701</v>
      </c>
      <c r="D202">
        <v>237.330633506721</v>
      </c>
      <c r="E202">
        <v>234.189364213727</v>
      </c>
      <c r="F202">
        <v>236.56125802993699</v>
      </c>
      <c r="G202">
        <v>7926220</v>
      </c>
      <c r="H202">
        <v>0</v>
      </c>
      <c r="I202">
        <v>0</v>
      </c>
    </row>
    <row r="203" spans="1:9" x14ac:dyDescent="0.5">
      <c r="A203" s="1">
        <v>45590</v>
      </c>
      <c r="B203">
        <v>-1.43035693658255E-2</v>
      </c>
      <c r="C203">
        <v>236.885484982538</v>
      </c>
      <c r="D203">
        <v>237.618505921077</v>
      </c>
      <c r="E203">
        <v>231.04264959585899</v>
      </c>
      <c r="F203">
        <v>231.70690841674801</v>
      </c>
      <c r="G203">
        <v>8257525</v>
      </c>
      <c r="H203">
        <v>0</v>
      </c>
      <c r="I203">
        <v>0</v>
      </c>
    </row>
    <row r="204" spans="1:9" x14ac:dyDescent="0.5">
      <c r="A204" s="1">
        <v>45593</v>
      </c>
      <c r="B204">
        <v>1.59419543368527E-2</v>
      </c>
      <c r="C204">
        <v>235.21364885487799</v>
      </c>
      <c r="D204">
        <v>237.160134412053</v>
      </c>
      <c r="E204">
        <v>233.48304816158301</v>
      </c>
      <c r="F204">
        <v>235.44950170516901</v>
      </c>
      <c r="G204">
        <v>8880965</v>
      </c>
      <c r="H204">
        <v>0</v>
      </c>
      <c r="I204">
        <v>0</v>
      </c>
    </row>
    <row r="205" spans="1:9" x14ac:dyDescent="0.5">
      <c r="A205" s="1">
        <v>45594</v>
      </c>
      <c r="B205">
        <v>-1.8671463953398399E-3</v>
      </c>
      <c r="C205">
        <v>235.495381076981</v>
      </c>
      <c r="D205">
        <v>238.70810556153401</v>
      </c>
      <c r="E205">
        <v>233.912991889729</v>
      </c>
      <c r="F205">
        <v>234.73153066635101</v>
      </c>
      <c r="G205">
        <v>11282845</v>
      </c>
      <c r="H205">
        <v>0</v>
      </c>
      <c r="I205">
        <v>0</v>
      </c>
    </row>
    <row r="206" spans="1:9" x14ac:dyDescent="0.5">
      <c r="A206" s="1">
        <v>45595</v>
      </c>
      <c r="B206">
        <v>3.5585248202556299E-3</v>
      </c>
      <c r="C206">
        <v>236.719761250668</v>
      </c>
      <c r="D206">
        <v>238.39600871797199</v>
      </c>
      <c r="E206">
        <v>233.485687052522</v>
      </c>
      <c r="F206">
        <v>234.57403993606499</v>
      </c>
      <c r="G206">
        <v>13286085</v>
      </c>
      <c r="H206">
        <v>0</v>
      </c>
      <c r="I206">
        <v>0</v>
      </c>
    </row>
    <row r="207" spans="1:9" x14ac:dyDescent="0.5">
      <c r="A207" s="1">
        <v>45596</v>
      </c>
      <c r="B207">
        <v>-8.4957305335626402E-3</v>
      </c>
      <c r="C207">
        <v>234.64633470644799</v>
      </c>
      <c r="D207">
        <v>236.779366866809</v>
      </c>
      <c r="E207">
        <v>232.82873964684501</v>
      </c>
      <c r="F207">
        <v>233.71721162796001</v>
      </c>
      <c r="G207">
        <v>10023640</v>
      </c>
      <c r="H207">
        <v>0</v>
      </c>
      <c r="I207">
        <v>0</v>
      </c>
    </row>
    <row r="208" spans="1:9" x14ac:dyDescent="0.5">
      <c r="A208" s="1">
        <v>45597</v>
      </c>
      <c r="B208">
        <v>8.1427001486258296E-3</v>
      </c>
      <c r="C208">
        <v>234.67603048972299</v>
      </c>
      <c r="D208">
        <v>237.04813115650401</v>
      </c>
      <c r="E208">
        <v>233.44145273305699</v>
      </c>
      <c r="F208">
        <v>235.16515817642201</v>
      </c>
      <c r="G208">
        <v>8347265</v>
      </c>
      <c r="H208">
        <v>0</v>
      </c>
      <c r="I208">
        <v>0</v>
      </c>
    </row>
    <row r="209" spans="1:9" x14ac:dyDescent="0.5">
      <c r="A209" s="1">
        <v>45600</v>
      </c>
      <c r="B209">
        <v>-6.9038092655227604E-3</v>
      </c>
      <c r="C209">
        <v>234.806231731379</v>
      </c>
      <c r="D209">
        <v>235.34891605513499</v>
      </c>
      <c r="E209">
        <v>232.392085216358</v>
      </c>
      <c r="F209">
        <v>233.19995107650701</v>
      </c>
      <c r="G209">
        <v>5917975</v>
      </c>
      <c r="H209">
        <v>0</v>
      </c>
      <c r="I209">
        <v>0</v>
      </c>
    </row>
    <row r="210" spans="1:9" x14ac:dyDescent="0.5">
      <c r="A210" s="1">
        <v>45601</v>
      </c>
      <c r="B210" s="28">
        <v>1.05799628509305E-2</v>
      </c>
      <c r="C210">
        <v>233.66091540824499</v>
      </c>
      <c r="D210">
        <v>237.29530706631499</v>
      </c>
      <c r="E210">
        <v>232.98212896689401</v>
      </c>
      <c r="F210">
        <v>236.809406471252</v>
      </c>
      <c r="G210">
        <v>5881200</v>
      </c>
      <c r="H210">
        <v>0</v>
      </c>
      <c r="I210">
        <v>0</v>
      </c>
    </row>
    <row r="211" spans="1:9" x14ac:dyDescent="0.5">
      <c r="A211" s="1">
        <v>45602</v>
      </c>
      <c r="B211">
        <v>3.1977098578691701E-2</v>
      </c>
      <c r="C211">
        <v>244.21525275629</v>
      </c>
      <c r="D211">
        <v>248.43827109974001</v>
      </c>
      <c r="E211">
        <v>240.51183435842799</v>
      </c>
      <c r="F211">
        <v>245.32538032531701</v>
      </c>
      <c r="G211">
        <v>11029875</v>
      </c>
      <c r="H211">
        <v>0</v>
      </c>
      <c r="I211">
        <v>0</v>
      </c>
    </row>
    <row r="212" spans="1:9" x14ac:dyDescent="0.5">
      <c r="A212" s="1">
        <v>45603</v>
      </c>
      <c r="B212">
        <v>5.6987326339890104E-4</v>
      </c>
      <c r="C212">
        <v>245.14125176890599</v>
      </c>
      <c r="D212">
        <v>246.895302350153</v>
      </c>
      <c r="E212">
        <v>243.40045728295701</v>
      </c>
      <c r="F212">
        <v>244.401294994354</v>
      </c>
      <c r="G212">
        <v>7879295</v>
      </c>
      <c r="H212">
        <v>0</v>
      </c>
      <c r="I212">
        <v>0</v>
      </c>
    </row>
    <row r="213" spans="1:9" x14ac:dyDescent="0.5">
      <c r="A213" s="1">
        <v>45604</v>
      </c>
      <c r="B213">
        <v>1.1774130972429299E-2</v>
      </c>
      <c r="C213">
        <v>245.35628008657201</v>
      </c>
      <c r="D213">
        <v>249.45456514935</v>
      </c>
      <c r="E213">
        <v>244.280655981743</v>
      </c>
      <c r="F213">
        <v>247.03101139068599</v>
      </c>
      <c r="G213">
        <v>7614990</v>
      </c>
      <c r="H213">
        <v>0</v>
      </c>
      <c r="I213">
        <v>0</v>
      </c>
    </row>
    <row r="214" spans="1:9" x14ac:dyDescent="0.5">
      <c r="A214" s="1">
        <v>45607</v>
      </c>
      <c r="B214">
        <v>6.1852787091805196E-3</v>
      </c>
      <c r="C214">
        <v>248.91440856829701</v>
      </c>
      <c r="D214">
        <v>251.596424245956</v>
      </c>
      <c r="E214">
        <v>248.08512926893999</v>
      </c>
      <c r="F214">
        <v>249.70280437469401</v>
      </c>
      <c r="G214">
        <v>6250050</v>
      </c>
      <c r="H214">
        <v>0</v>
      </c>
      <c r="I214">
        <v>0</v>
      </c>
    </row>
    <row r="215" spans="1:9" x14ac:dyDescent="0.5">
      <c r="A215" s="1">
        <v>45608</v>
      </c>
      <c r="B215">
        <v>-9.1734016442267495E-3</v>
      </c>
      <c r="C215">
        <v>248.44454354207301</v>
      </c>
      <c r="D215">
        <v>249.85546933925599</v>
      </c>
      <c r="E215">
        <v>246.12219891625301</v>
      </c>
      <c r="F215">
        <v>247.27942523956301</v>
      </c>
      <c r="G215">
        <v>6534215</v>
      </c>
      <c r="H215">
        <v>0</v>
      </c>
      <c r="I215">
        <v>0</v>
      </c>
    </row>
    <row r="216" spans="1:9" x14ac:dyDescent="0.5">
      <c r="A216" s="1">
        <v>45609</v>
      </c>
      <c r="B216">
        <v>-1.5801507930394501E-3</v>
      </c>
      <c r="C216">
        <v>247.59452680235799</v>
      </c>
      <c r="D216">
        <v>248.94911154088899</v>
      </c>
      <c r="E216">
        <v>245.398392226928</v>
      </c>
      <c r="F216">
        <v>246.72962732315</v>
      </c>
      <c r="G216">
        <v>6358980</v>
      </c>
      <c r="H216">
        <v>0</v>
      </c>
      <c r="I216">
        <v>0</v>
      </c>
    </row>
    <row r="217" spans="1:9" x14ac:dyDescent="0.5">
      <c r="A217" s="1">
        <v>45610</v>
      </c>
      <c r="B217">
        <v>-4.7550878898467404E-3</v>
      </c>
      <c r="C217">
        <v>247.51632302388401</v>
      </c>
      <c r="D217">
        <v>248.959453677098</v>
      </c>
      <c r="E217">
        <v>244.934621096618</v>
      </c>
      <c r="F217">
        <v>246.18847789764399</v>
      </c>
      <c r="G217">
        <v>6856455</v>
      </c>
      <c r="H217">
        <v>0</v>
      </c>
      <c r="I217">
        <v>0</v>
      </c>
    </row>
    <row r="218" spans="1:9" x14ac:dyDescent="0.5">
      <c r="A218" s="1">
        <v>45611</v>
      </c>
      <c r="B218">
        <v>-1.2873535926586599E-2</v>
      </c>
      <c r="C218">
        <v>245.857143243591</v>
      </c>
      <c r="D218">
        <v>247.240006099646</v>
      </c>
      <c r="E218">
        <v>241.533319133292</v>
      </c>
      <c r="F218">
        <v>243.806086635589</v>
      </c>
      <c r="G218">
        <v>8722415</v>
      </c>
      <c r="H218">
        <v>0</v>
      </c>
      <c r="I218">
        <v>0</v>
      </c>
    </row>
    <row r="219" spans="1:9" x14ac:dyDescent="0.5">
      <c r="A219" s="1">
        <v>45614</v>
      </c>
      <c r="B219">
        <v>2.0133763319997999E-3</v>
      </c>
      <c r="C219">
        <v>244.26679486499401</v>
      </c>
      <c r="D219">
        <v>245.851513068798</v>
      </c>
      <c r="E219">
        <v>242.03683508891001</v>
      </c>
      <c r="F219">
        <v>243.261976146698</v>
      </c>
      <c r="G219">
        <v>6665710</v>
      </c>
      <c r="H219">
        <v>0</v>
      </c>
      <c r="I219">
        <v>0</v>
      </c>
    </row>
    <row r="220" spans="1:9" x14ac:dyDescent="0.5">
      <c r="A220" s="1">
        <v>45615</v>
      </c>
      <c r="B220" s="28">
        <v>-1.86665645288678E-6</v>
      </c>
      <c r="C220">
        <v>241.477302065</v>
      </c>
      <c r="D220">
        <v>243.66514760476699</v>
      </c>
      <c r="E220">
        <v>239.76916386314801</v>
      </c>
      <c r="F220">
        <v>242.56451749801599</v>
      </c>
      <c r="G220">
        <v>6455195</v>
      </c>
      <c r="H220">
        <v>0</v>
      </c>
      <c r="I220">
        <v>0</v>
      </c>
    </row>
    <row r="221" spans="1:9" x14ac:dyDescent="0.5">
      <c r="A221" s="1">
        <v>45616</v>
      </c>
      <c r="B221" s="28">
        <v>-4.6813265817292997E-3</v>
      </c>
      <c r="C221">
        <v>242.67957048152101</v>
      </c>
      <c r="D221">
        <v>243.468035587081</v>
      </c>
      <c r="E221">
        <v>239.89868627955499</v>
      </c>
      <c r="F221">
        <v>241.96458454131999</v>
      </c>
      <c r="G221">
        <v>6363450</v>
      </c>
      <c r="H221">
        <v>0</v>
      </c>
      <c r="I221">
        <v>0</v>
      </c>
    </row>
    <row r="222" spans="1:9" x14ac:dyDescent="0.5">
      <c r="A222" s="1">
        <v>45617</v>
      </c>
      <c r="B222">
        <v>-6.7612406944878001E-4</v>
      </c>
      <c r="C222">
        <v>239.85969083464499</v>
      </c>
      <c r="D222">
        <v>243.317073183188</v>
      </c>
      <c r="E222">
        <v>237.805874174058</v>
      </c>
      <c r="F222">
        <v>241.893515777587</v>
      </c>
      <c r="G222">
        <v>11627640</v>
      </c>
      <c r="H222">
        <v>0</v>
      </c>
      <c r="I222">
        <v>0</v>
      </c>
    </row>
    <row r="223" spans="1:9" x14ac:dyDescent="0.5">
      <c r="A223" s="1">
        <v>45618</v>
      </c>
      <c r="B223" s="28">
        <v>5.3964114784016901E-3</v>
      </c>
      <c r="C223">
        <v>241.60515347425101</v>
      </c>
      <c r="D223">
        <v>243.80420520537501</v>
      </c>
      <c r="E223">
        <v>240.918467501512</v>
      </c>
      <c r="F223">
        <v>243.17151222229</v>
      </c>
      <c r="G223">
        <v>8390610</v>
      </c>
      <c r="H223">
        <v>0</v>
      </c>
      <c r="I223">
        <v>0</v>
      </c>
    </row>
    <row r="224" spans="1:9" x14ac:dyDescent="0.5">
      <c r="A224" s="1">
        <v>45621</v>
      </c>
      <c r="B224">
        <v>1.3580460254402699E-2</v>
      </c>
      <c r="C224">
        <v>244.83906878472601</v>
      </c>
      <c r="D224">
        <v>247.65107493232</v>
      </c>
      <c r="E224">
        <v>243.355935777361</v>
      </c>
      <c r="F224">
        <v>246.40557937622</v>
      </c>
      <c r="G224">
        <v>12665010</v>
      </c>
      <c r="H224">
        <v>0</v>
      </c>
      <c r="I224">
        <v>0</v>
      </c>
    </row>
    <row r="225" spans="1:9" x14ac:dyDescent="0.5">
      <c r="A225" s="1">
        <v>45622</v>
      </c>
      <c r="B225">
        <v>2.6478746659956498E-3</v>
      </c>
      <c r="C225">
        <v>246.496118070812</v>
      </c>
      <c r="D225">
        <v>247.91529008380101</v>
      </c>
      <c r="E225">
        <v>244.56258537643299</v>
      </c>
      <c r="F225">
        <v>246.977976799011</v>
      </c>
      <c r="G225">
        <v>6218755</v>
      </c>
      <c r="H225">
        <v>0</v>
      </c>
      <c r="I225">
        <v>0</v>
      </c>
    </row>
    <row r="226" spans="1:9" x14ac:dyDescent="0.5">
      <c r="A226" s="1">
        <v>45623</v>
      </c>
      <c r="B226">
        <v>-1.0171600484417301E-2</v>
      </c>
      <c r="C226">
        <v>247.31293762931901</v>
      </c>
      <c r="D226">
        <v>249.59807545148701</v>
      </c>
      <c r="E226">
        <v>245.576260799582</v>
      </c>
      <c r="F226">
        <v>246.51870555877599</v>
      </c>
      <c r="G226">
        <v>6832880</v>
      </c>
      <c r="H226">
        <v>0</v>
      </c>
      <c r="I226">
        <v>0</v>
      </c>
    </row>
    <row r="227" spans="1:9" x14ac:dyDescent="0.5">
      <c r="A227" s="1">
        <v>45625</v>
      </c>
      <c r="B227">
        <v>5.28445054646843E-3</v>
      </c>
      <c r="C227">
        <v>246.446768997389</v>
      </c>
      <c r="D227">
        <v>248.42110283099001</v>
      </c>
      <c r="E227">
        <v>245.875435325496</v>
      </c>
      <c r="F227">
        <v>247.364854335784</v>
      </c>
      <c r="G227">
        <v>4347520</v>
      </c>
      <c r="H227">
        <v>0</v>
      </c>
      <c r="I227">
        <v>0</v>
      </c>
    </row>
    <row r="228" spans="1:9" x14ac:dyDescent="0.5">
      <c r="A228" s="1">
        <v>45628</v>
      </c>
      <c r="B228">
        <v>-4.5524519712419002E-3</v>
      </c>
      <c r="C228">
        <v>246.463390014151</v>
      </c>
      <c r="D228">
        <v>247.61964158537501</v>
      </c>
      <c r="E228">
        <v>244.24910898685599</v>
      </c>
      <c r="F228">
        <v>245.58053512573201</v>
      </c>
      <c r="G228">
        <v>7408820</v>
      </c>
      <c r="H228">
        <v>0</v>
      </c>
      <c r="I228">
        <v>0</v>
      </c>
    </row>
    <row r="229" spans="1:9" x14ac:dyDescent="0.5">
      <c r="A229" s="1">
        <v>45629</v>
      </c>
      <c r="B229">
        <v>5.8361180813744004E-4</v>
      </c>
      <c r="C229">
        <v>246.27771521096901</v>
      </c>
      <c r="D229">
        <v>247.76733042490099</v>
      </c>
      <c r="E229">
        <v>243.888377678431</v>
      </c>
      <c r="F229">
        <v>245.88950376510601</v>
      </c>
      <c r="G229">
        <v>6990520</v>
      </c>
      <c r="H229">
        <v>0</v>
      </c>
      <c r="I229">
        <v>0</v>
      </c>
    </row>
    <row r="230" spans="1:9" x14ac:dyDescent="0.5">
      <c r="A230" s="1">
        <v>45630</v>
      </c>
      <c r="B230">
        <v>2.6909916615703001E-3</v>
      </c>
      <c r="C230">
        <v>245.01133710411901</v>
      </c>
      <c r="D230">
        <v>247.19787298256699</v>
      </c>
      <c r="E230">
        <v>243.54797207089001</v>
      </c>
      <c r="F230">
        <v>245.713225650787</v>
      </c>
      <c r="G230">
        <v>8840695</v>
      </c>
      <c r="H230">
        <v>0</v>
      </c>
      <c r="I230">
        <v>0</v>
      </c>
    </row>
    <row r="231" spans="1:9" x14ac:dyDescent="0.5">
      <c r="A231" s="1">
        <v>45631</v>
      </c>
      <c r="B231">
        <v>6.3815291349358103E-3</v>
      </c>
      <c r="C231">
        <v>246.35733760332499</v>
      </c>
      <c r="D231">
        <v>249.35061376308201</v>
      </c>
      <c r="E231">
        <v>245.06863061468201</v>
      </c>
      <c r="F231">
        <v>247.326525306701</v>
      </c>
      <c r="G231">
        <v>9233090</v>
      </c>
      <c r="H231">
        <v>0</v>
      </c>
      <c r="I231">
        <v>0</v>
      </c>
    </row>
    <row r="232" spans="1:9" x14ac:dyDescent="0.5">
      <c r="A232" s="1">
        <v>45632</v>
      </c>
      <c r="B232">
        <v>1.7111996468454599E-2</v>
      </c>
      <c r="C232">
        <v>247.85763213301399</v>
      </c>
      <c r="D232">
        <v>250.46732610356901</v>
      </c>
      <c r="E232">
        <v>246.62085305660301</v>
      </c>
      <c r="F232">
        <v>248.11964941024701</v>
      </c>
      <c r="G232">
        <v>11009325</v>
      </c>
      <c r="H232">
        <v>0</v>
      </c>
      <c r="I232">
        <v>0</v>
      </c>
    </row>
    <row r="233" spans="1:9" x14ac:dyDescent="0.5">
      <c r="A233" s="1">
        <v>45635</v>
      </c>
      <c r="B233">
        <v>-4.5302363036509802E-3</v>
      </c>
      <c r="C233">
        <v>247.50973041611999</v>
      </c>
      <c r="D233">
        <v>250.37217060509801</v>
      </c>
      <c r="E233">
        <v>245.99647115861899</v>
      </c>
      <c r="F233">
        <v>248.05092401504501</v>
      </c>
      <c r="G233">
        <v>9035135</v>
      </c>
      <c r="H233">
        <v>0.02</v>
      </c>
      <c r="I233">
        <v>0</v>
      </c>
    </row>
    <row r="234" spans="1:9" x14ac:dyDescent="0.5">
      <c r="A234" s="1">
        <v>45636</v>
      </c>
      <c r="B234">
        <v>-4.2788215936842098E-3</v>
      </c>
      <c r="C234">
        <v>247.59337630227</v>
      </c>
      <c r="D234">
        <v>250.314630386163</v>
      </c>
      <c r="E234">
        <v>244.57567979844799</v>
      </c>
      <c r="F234">
        <v>247.93203878402699</v>
      </c>
      <c r="G234">
        <v>11769190</v>
      </c>
      <c r="H234">
        <v>0</v>
      </c>
      <c r="I234">
        <v>0</v>
      </c>
    </row>
    <row r="235" spans="1:9" x14ac:dyDescent="0.5">
      <c r="A235" s="1">
        <v>45637</v>
      </c>
      <c r="B235">
        <v>8.4797869122404403E-4</v>
      </c>
      <c r="C235">
        <v>248.81412172689099</v>
      </c>
      <c r="D235">
        <v>250.77496243274899</v>
      </c>
      <c r="E235">
        <v>245.89095826499201</v>
      </c>
      <c r="F235">
        <v>247.99005079269401</v>
      </c>
      <c r="G235">
        <v>13133405</v>
      </c>
      <c r="H235">
        <v>0</v>
      </c>
      <c r="I235">
        <v>0</v>
      </c>
    </row>
    <row r="236" spans="1:9" x14ac:dyDescent="0.5">
      <c r="A236" s="1">
        <v>45638</v>
      </c>
      <c r="B236">
        <v>-6.6986848175650795E-4</v>
      </c>
      <c r="C236">
        <v>248.116735814387</v>
      </c>
      <c r="D236">
        <v>249.692798908149</v>
      </c>
      <c r="E236">
        <v>246.69268552368899</v>
      </c>
      <c r="F236">
        <v>247.85312490463201</v>
      </c>
      <c r="G236">
        <v>7810585</v>
      </c>
      <c r="H236">
        <v>0</v>
      </c>
      <c r="I236">
        <v>0</v>
      </c>
    </row>
    <row r="237" spans="1:9" x14ac:dyDescent="0.5">
      <c r="A237" s="1">
        <v>45639</v>
      </c>
      <c r="B237" s="28">
        <v>-2.46202050412416E-3</v>
      </c>
      <c r="C237">
        <v>247.98741916358901</v>
      </c>
      <c r="D237">
        <v>249.645904625193</v>
      </c>
      <c r="E237">
        <v>246.35626146278301</v>
      </c>
      <c r="F237">
        <v>247.04612264633101</v>
      </c>
      <c r="G237">
        <v>6574685</v>
      </c>
      <c r="H237">
        <v>0</v>
      </c>
      <c r="I237">
        <v>0</v>
      </c>
    </row>
    <row r="238" spans="1:9" x14ac:dyDescent="0.5">
      <c r="A238" s="1">
        <v>45642</v>
      </c>
      <c r="B238" s="28">
        <v>4.9504660670739E-3</v>
      </c>
      <c r="C238">
        <v>247.83906463619701</v>
      </c>
      <c r="D238">
        <v>250.82942602688499</v>
      </c>
      <c r="E238">
        <v>246.581170545963</v>
      </c>
      <c r="F238">
        <v>248.30360403060899</v>
      </c>
      <c r="G238">
        <v>11434455</v>
      </c>
      <c r="H238">
        <v>0</v>
      </c>
      <c r="I238">
        <v>0</v>
      </c>
    </row>
    <row r="239" spans="1:9" x14ac:dyDescent="0.5">
      <c r="A239" s="1">
        <v>45643</v>
      </c>
      <c r="B239" s="28">
        <v>-6.59006928740877E-3</v>
      </c>
      <c r="C239">
        <v>247.58656328648701</v>
      </c>
      <c r="D239">
        <v>249.56654591010701</v>
      </c>
      <c r="E239">
        <v>245.23406332463401</v>
      </c>
      <c r="F239">
        <v>246.457886314392</v>
      </c>
      <c r="G239">
        <v>10139370</v>
      </c>
      <c r="H239">
        <v>0</v>
      </c>
      <c r="I239">
        <v>0</v>
      </c>
    </row>
    <row r="240" spans="1:9" x14ac:dyDescent="0.5">
      <c r="A240" s="1">
        <v>45644</v>
      </c>
      <c r="B240">
        <v>-2.6562497988144598E-2</v>
      </c>
      <c r="C240">
        <v>246.32076729313999</v>
      </c>
      <c r="D240">
        <v>248.769650784188</v>
      </c>
      <c r="E240">
        <v>239.18682217912601</v>
      </c>
      <c r="F240">
        <v>239.95978097915599</v>
      </c>
      <c r="G240">
        <v>10038320</v>
      </c>
      <c r="H240">
        <v>0</v>
      </c>
      <c r="I240">
        <v>0</v>
      </c>
    </row>
    <row r="241" spans="1:9" x14ac:dyDescent="0.5">
      <c r="A241" s="1">
        <v>45645</v>
      </c>
      <c r="B241">
        <v>4.6324737020967304E-3</v>
      </c>
      <c r="C241">
        <v>241.78581470173</v>
      </c>
      <c r="D241">
        <v>243.926703802747</v>
      </c>
      <c r="E241">
        <v>239.64662279591499</v>
      </c>
      <c r="F241">
        <v>240.779502868652</v>
      </c>
      <c r="G241">
        <v>9833645</v>
      </c>
      <c r="H241">
        <v>0</v>
      </c>
      <c r="I241">
        <v>0</v>
      </c>
    </row>
    <row r="242" spans="1:9" x14ac:dyDescent="0.5">
      <c r="A242" s="1">
        <v>45646</v>
      </c>
      <c r="B242">
        <v>1.5912581874468399E-2</v>
      </c>
      <c r="C242">
        <v>240.088996887207</v>
      </c>
      <c r="D242">
        <v>246.45300540924001</v>
      </c>
      <c r="E242">
        <v>239.586995601654</v>
      </c>
      <c r="F242">
        <v>243.89099407195999</v>
      </c>
      <c r="G242">
        <v>21818175</v>
      </c>
      <c r="H242">
        <v>1.95E-2</v>
      </c>
      <c r="I242">
        <v>0</v>
      </c>
    </row>
    <row r="243" spans="1:9" x14ac:dyDescent="0.5">
      <c r="A243" s="1">
        <v>45649</v>
      </c>
      <c r="B243">
        <v>1.5447877466368801E-3</v>
      </c>
      <c r="C243">
        <v>243.446002864837</v>
      </c>
      <c r="D243">
        <v>245.047004890441</v>
      </c>
      <c r="E243">
        <v>241.48200302123999</v>
      </c>
      <c r="F243">
        <v>244.06900653839099</v>
      </c>
      <c r="G243">
        <v>7529670</v>
      </c>
      <c r="H243">
        <v>0</v>
      </c>
      <c r="I243">
        <v>0</v>
      </c>
    </row>
    <row r="244" spans="1:9" x14ac:dyDescent="0.5">
      <c r="A244" s="1">
        <v>45650</v>
      </c>
      <c r="B244">
        <v>9.5732824816442998E-3</v>
      </c>
      <c r="C244">
        <v>244.49600238799999</v>
      </c>
      <c r="D244">
        <v>247.21799440383899</v>
      </c>
      <c r="E244">
        <v>243.72985134124701</v>
      </c>
      <c r="F244">
        <v>247.01249332427901</v>
      </c>
      <c r="G244">
        <v>3209065</v>
      </c>
      <c r="H244">
        <v>0</v>
      </c>
      <c r="I244">
        <v>0</v>
      </c>
    </row>
    <row r="245" spans="1:9" x14ac:dyDescent="0.5">
      <c r="A245" s="1">
        <v>45652</v>
      </c>
      <c r="B245">
        <v>2.02897116300098E-3</v>
      </c>
      <c r="C245">
        <v>245.93950099944999</v>
      </c>
      <c r="D245">
        <v>247.83950424194299</v>
      </c>
      <c r="E245">
        <v>245.48325166702199</v>
      </c>
      <c r="F245">
        <v>247.244993495941</v>
      </c>
      <c r="G245">
        <v>3441010</v>
      </c>
      <c r="H245">
        <v>0</v>
      </c>
      <c r="I245">
        <v>0</v>
      </c>
    </row>
    <row r="246" spans="1:9" x14ac:dyDescent="0.5">
      <c r="A246" s="1">
        <v>45653</v>
      </c>
      <c r="B246">
        <v>-8.0685915672949592E-3</v>
      </c>
      <c r="C246">
        <v>245.84524765014601</v>
      </c>
      <c r="D246">
        <v>248.022756767272</v>
      </c>
      <c r="E246">
        <v>244.311493492126</v>
      </c>
      <c r="F246">
        <v>245.59599637985201</v>
      </c>
      <c r="G246">
        <v>4630590</v>
      </c>
      <c r="H246">
        <v>0</v>
      </c>
      <c r="I246">
        <v>0</v>
      </c>
    </row>
    <row r="247" spans="1:9" x14ac:dyDescent="0.5">
      <c r="A247" s="1">
        <v>45656</v>
      </c>
      <c r="B247">
        <v>-1.0647663955143299E-2</v>
      </c>
      <c r="C247">
        <v>242.98925161361601</v>
      </c>
      <c r="D247">
        <v>244.506501197814</v>
      </c>
      <c r="E247">
        <v>241.38974800109801</v>
      </c>
      <c r="F247">
        <v>243.07450189590401</v>
      </c>
      <c r="G247">
        <v>4422465</v>
      </c>
      <c r="H247">
        <v>0</v>
      </c>
      <c r="I247">
        <v>0</v>
      </c>
    </row>
    <row r="248" spans="1:9" x14ac:dyDescent="0.5">
      <c r="A248" s="1">
        <v>45657</v>
      </c>
      <c r="B248">
        <v>-7.4054547278771198E-4</v>
      </c>
      <c r="C248">
        <v>243.500494670867</v>
      </c>
      <c r="D248">
        <v>244.515745639801</v>
      </c>
      <c r="E248">
        <v>241.97574701309199</v>
      </c>
      <c r="F248">
        <v>242.976506137847</v>
      </c>
      <c r="G248">
        <v>4797545</v>
      </c>
      <c r="H248">
        <v>0</v>
      </c>
      <c r="I248">
        <v>0</v>
      </c>
    </row>
    <row r="249" spans="1:9" x14ac:dyDescent="0.5">
      <c r="A249" s="1">
        <v>45659</v>
      </c>
      <c r="B249">
        <v>4.5536189123486599E-3</v>
      </c>
      <c r="C249">
        <v>244.51650323867699</v>
      </c>
      <c r="D249">
        <v>247.43800239562901</v>
      </c>
      <c r="E249">
        <v>242.21649885177601</v>
      </c>
      <c r="F249">
        <v>244.16649923324499</v>
      </c>
      <c r="G249">
        <v>6754845</v>
      </c>
      <c r="H249">
        <v>0</v>
      </c>
      <c r="I249">
        <v>0</v>
      </c>
    </row>
    <row r="250" spans="1:9" x14ac:dyDescent="0.5">
      <c r="A250" s="1">
        <v>45660</v>
      </c>
      <c r="B250">
        <v>7.9132333348499694E-3</v>
      </c>
      <c r="C250">
        <v>245.087493133544</v>
      </c>
      <c r="D250">
        <v>246.57850027084299</v>
      </c>
      <c r="E250">
        <v>242.87900381088201</v>
      </c>
      <c r="F250">
        <v>245.942499160766</v>
      </c>
      <c r="G250">
        <v>5371850</v>
      </c>
      <c r="H250">
        <v>0</v>
      </c>
      <c r="I250">
        <v>0</v>
      </c>
    </row>
    <row r="251" spans="1:9" x14ac:dyDescent="0.5">
      <c r="A251" s="1">
        <v>45663</v>
      </c>
      <c r="B251">
        <v>5.7317253032628003E-3</v>
      </c>
      <c r="C251">
        <v>246.19899873733499</v>
      </c>
      <c r="D251">
        <v>248.64450674056999</v>
      </c>
      <c r="E251">
        <v>244.61649866104099</v>
      </c>
      <c r="F251">
        <v>245.698998355865</v>
      </c>
      <c r="G251">
        <v>9398075</v>
      </c>
      <c r="H251">
        <v>0</v>
      </c>
      <c r="I251">
        <v>0</v>
      </c>
    </row>
    <row r="252" spans="1:9" x14ac:dyDescent="0.5">
      <c r="A252" s="1">
        <v>45664</v>
      </c>
      <c r="B252">
        <v>-3.9791362615927903E-3</v>
      </c>
      <c r="C252">
        <v>246.74499912261899</v>
      </c>
      <c r="D252">
        <v>248.23462467193599</v>
      </c>
      <c r="E252">
        <v>242.83950643539399</v>
      </c>
      <c r="F252">
        <v>244.823436069488</v>
      </c>
      <c r="G252">
        <v>4124347.5</v>
      </c>
      <c r="H252">
        <v>0</v>
      </c>
      <c r="I252">
        <v>0</v>
      </c>
    </row>
    <row r="253" spans="1:9" x14ac:dyDescent="0.5">
      <c r="A253" s="1"/>
    </row>
    <row r="254" spans="1:9" x14ac:dyDescent="0.5">
      <c r="A254" s="1"/>
    </row>
    <row r="255" spans="1:9" x14ac:dyDescent="0.5">
      <c r="A255" s="1"/>
    </row>
    <row r="256" spans="1:9" x14ac:dyDescent="0.5">
      <c r="A256" s="1"/>
    </row>
    <row r="257" spans="1:1" x14ac:dyDescent="0.5">
      <c r="A257" s="1"/>
    </row>
    <row r="258" spans="1:1" x14ac:dyDescent="0.5">
      <c r="A258" s="1"/>
    </row>
    <row r="259" spans="1:1" x14ac:dyDescent="0.5">
      <c r="A259" s="1"/>
    </row>
    <row r="260" spans="1:1" x14ac:dyDescent="0.5">
      <c r="A260" s="1"/>
    </row>
    <row r="261" spans="1:1" x14ac:dyDescent="0.5">
      <c r="A261" s="1"/>
    </row>
    <row r="262" spans="1:1" x14ac:dyDescent="0.5">
      <c r="A262" s="1"/>
    </row>
    <row r="263" spans="1:1" x14ac:dyDescent="0.5">
      <c r="A263" s="1"/>
    </row>
    <row r="264" spans="1:1" x14ac:dyDescent="0.5">
      <c r="A264" s="1"/>
    </row>
    <row r="265" spans="1:1" x14ac:dyDescent="0.5">
      <c r="A265" s="1"/>
    </row>
    <row r="266" spans="1:1" x14ac:dyDescent="0.5">
      <c r="A266" s="1"/>
    </row>
    <row r="267" spans="1:1" x14ac:dyDescent="0.5">
      <c r="A267" s="1"/>
    </row>
    <row r="268" spans="1:1" x14ac:dyDescent="0.5">
      <c r="A268" s="1"/>
    </row>
    <row r="269" spans="1:1" x14ac:dyDescent="0.5">
      <c r="A269" s="1"/>
    </row>
    <row r="270" spans="1:1" x14ac:dyDescent="0.5">
      <c r="A270" s="1"/>
    </row>
    <row r="271" spans="1:1" x14ac:dyDescent="0.5">
      <c r="A271" s="1"/>
    </row>
    <row r="272" spans="1:1" x14ac:dyDescent="0.5">
      <c r="A272" s="1"/>
    </row>
    <row r="273" spans="1:1" x14ac:dyDescent="0.5">
      <c r="A273" s="1"/>
    </row>
    <row r="274" spans="1:1" x14ac:dyDescent="0.5">
      <c r="A274" s="1"/>
    </row>
    <row r="275" spans="1:1" x14ac:dyDescent="0.5">
      <c r="A275" s="1"/>
    </row>
    <row r="276" spans="1:1" x14ac:dyDescent="0.5">
      <c r="A276" s="1"/>
    </row>
    <row r="277" spans="1:1" x14ac:dyDescent="0.5">
      <c r="A277" s="1"/>
    </row>
    <row r="278" spans="1:1" x14ac:dyDescent="0.5">
      <c r="A278" s="1"/>
    </row>
    <row r="279" spans="1:1" x14ac:dyDescent="0.5">
      <c r="A279" s="1"/>
    </row>
    <row r="280" spans="1:1" x14ac:dyDescent="0.5">
      <c r="A280" s="1"/>
    </row>
    <row r="281" spans="1:1" x14ac:dyDescent="0.5">
      <c r="A281" s="1"/>
    </row>
    <row r="282" spans="1:1" x14ac:dyDescent="0.5">
      <c r="A282" s="1"/>
    </row>
    <row r="283" spans="1:1" x14ac:dyDescent="0.5">
      <c r="A283" s="1"/>
    </row>
    <row r="284" spans="1:1" x14ac:dyDescent="0.5">
      <c r="A284" s="1"/>
    </row>
    <row r="285" spans="1:1" x14ac:dyDescent="0.5">
      <c r="A285" s="1"/>
    </row>
    <row r="286" spans="1:1" x14ac:dyDescent="0.5">
      <c r="A286" s="1"/>
    </row>
    <row r="287" spans="1:1" x14ac:dyDescent="0.5">
      <c r="A287" s="1"/>
    </row>
    <row r="288" spans="1:1" x14ac:dyDescent="0.5">
      <c r="A288" s="1"/>
    </row>
    <row r="289" spans="1:1" x14ac:dyDescent="0.5">
      <c r="A289" s="1"/>
    </row>
    <row r="290" spans="1:1" x14ac:dyDescent="0.5">
      <c r="A290" s="1"/>
    </row>
    <row r="291" spans="1:1" x14ac:dyDescent="0.5">
      <c r="A291" s="1"/>
    </row>
    <row r="292" spans="1:1" x14ac:dyDescent="0.5">
      <c r="A292" s="1"/>
    </row>
    <row r="293" spans="1:1" x14ac:dyDescent="0.5">
      <c r="A293" s="1"/>
    </row>
    <row r="294" spans="1:1" x14ac:dyDescent="0.5">
      <c r="A294" s="1"/>
    </row>
    <row r="295" spans="1:1" x14ac:dyDescent="0.5">
      <c r="A295" s="1"/>
    </row>
    <row r="296" spans="1:1" x14ac:dyDescent="0.5">
      <c r="A296" s="1"/>
    </row>
    <row r="297" spans="1:1" x14ac:dyDescent="0.5">
      <c r="A297" s="1"/>
    </row>
    <row r="298" spans="1:1" x14ac:dyDescent="0.5">
      <c r="A298" s="1"/>
    </row>
    <row r="299" spans="1:1" x14ac:dyDescent="0.5">
      <c r="A299" s="1"/>
    </row>
    <row r="300" spans="1:1" x14ac:dyDescent="0.5">
      <c r="A300" s="1"/>
    </row>
    <row r="301" spans="1:1" x14ac:dyDescent="0.5">
      <c r="A301" s="1"/>
    </row>
    <row r="302" spans="1:1" x14ac:dyDescent="0.5">
      <c r="A302" s="1"/>
    </row>
    <row r="303" spans="1:1" x14ac:dyDescent="0.5">
      <c r="A303" s="1"/>
    </row>
    <row r="304" spans="1:1" x14ac:dyDescent="0.5">
      <c r="A304" s="1"/>
    </row>
    <row r="305" spans="1:1" x14ac:dyDescent="0.5">
      <c r="A305" s="1"/>
    </row>
    <row r="306" spans="1:1" x14ac:dyDescent="0.5">
      <c r="A306" s="1"/>
    </row>
    <row r="307" spans="1:1" x14ac:dyDescent="0.5">
      <c r="A307" s="1"/>
    </row>
    <row r="308" spans="1:1" x14ac:dyDescent="0.5">
      <c r="A308" s="1"/>
    </row>
    <row r="309" spans="1:1" x14ac:dyDescent="0.5">
      <c r="A309" s="1"/>
    </row>
    <row r="310" spans="1:1" x14ac:dyDescent="0.5">
      <c r="A310" s="1"/>
    </row>
    <row r="311" spans="1:1" x14ac:dyDescent="0.5">
      <c r="A311" s="1"/>
    </row>
    <row r="312" spans="1:1" x14ac:dyDescent="0.5">
      <c r="A312" s="1"/>
    </row>
    <row r="313" spans="1:1" x14ac:dyDescent="0.5">
      <c r="A313" s="1"/>
    </row>
    <row r="314" spans="1:1" x14ac:dyDescent="0.5">
      <c r="A314" s="1"/>
    </row>
    <row r="315" spans="1:1" x14ac:dyDescent="0.5">
      <c r="A315" s="1"/>
    </row>
    <row r="316" spans="1:1" x14ac:dyDescent="0.5">
      <c r="A316" s="1"/>
    </row>
    <row r="317" spans="1:1" x14ac:dyDescent="0.5">
      <c r="A317" s="1"/>
    </row>
    <row r="318" spans="1:1" x14ac:dyDescent="0.5">
      <c r="A318" s="1"/>
    </row>
    <row r="319" spans="1:1" x14ac:dyDescent="0.5">
      <c r="A319" s="1"/>
    </row>
    <row r="320" spans="1:1" x14ac:dyDescent="0.5">
      <c r="A320" s="1"/>
    </row>
    <row r="321" spans="1:1" x14ac:dyDescent="0.5">
      <c r="A321" s="1"/>
    </row>
    <row r="322" spans="1:1" x14ac:dyDescent="0.5">
      <c r="A322" s="1"/>
    </row>
    <row r="323" spans="1:1" x14ac:dyDescent="0.5">
      <c r="A323" s="1"/>
    </row>
    <row r="324" spans="1:1" x14ac:dyDescent="0.5">
      <c r="A324" s="1"/>
    </row>
    <row r="325" spans="1:1" x14ac:dyDescent="0.5">
      <c r="A325" s="1"/>
    </row>
    <row r="326" spans="1:1" x14ac:dyDescent="0.5">
      <c r="A326" s="1"/>
    </row>
    <row r="327" spans="1:1" x14ac:dyDescent="0.5">
      <c r="A327" s="1"/>
    </row>
    <row r="328" spans="1:1" x14ac:dyDescent="0.5">
      <c r="A328" s="1"/>
    </row>
    <row r="329" spans="1:1" x14ac:dyDescent="0.5">
      <c r="A329" s="1"/>
    </row>
    <row r="330" spans="1:1" x14ac:dyDescent="0.5">
      <c r="A330" s="1"/>
    </row>
    <row r="331" spans="1:1" x14ac:dyDescent="0.5">
      <c r="A331" s="1"/>
    </row>
    <row r="332" spans="1:1" x14ac:dyDescent="0.5">
      <c r="A332" s="1"/>
    </row>
    <row r="333" spans="1:1" x14ac:dyDescent="0.5">
      <c r="A333" s="1"/>
    </row>
    <row r="334" spans="1:1" x14ac:dyDescent="0.5">
      <c r="A334" s="1"/>
    </row>
    <row r="335" spans="1:1" x14ac:dyDescent="0.5">
      <c r="A335" s="1"/>
    </row>
    <row r="336" spans="1:1" x14ac:dyDescent="0.5">
      <c r="A336" s="1"/>
    </row>
    <row r="337" spans="1:1" x14ac:dyDescent="0.5">
      <c r="A337" s="1"/>
    </row>
    <row r="338" spans="1:1" x14ac:dyDescent="0.5">
      <c r="A338" s="1"/>
    </row>
    <row r="339" spans="1:1" x14ac:dyDescent="0.5">
      <c r="A339" s="1"/>
    </row>
    <row r="340" spans="1:1" x14ac:dyDescent="0.5">
      <c r="A340" s="1"/>
    </row>
    <row r="341" spans="1:1" x14ac:dyDescent="0.5">
      <c r="A341" s="1"/>
    </row>
    <row r="342" spans="1:1" x14ac:dyDescent="0.5">
      <c r="A342" s="1"/>
    </row>
    <row r="343" spans="1:1" x14ac:dyDescent="0.5">
      <c r="A343" s="1"/>
    </row>
    <row r="344" spans="1:1" x14ac:dyDescent="0.5">
      <c r="A344" s="1"/>
    </row>
    <row r="345" spans="1:1" x14ac:dyDescent="0.5">
      <c r="A345" s="1"/>
    </row>
    <row r="346" spans="1:1" x14ac:dyDescent="0.5">
      <c r="A346" s="1"/>
    </row>
    <row r="347" spans="1:1" x14ac:dyDescent="0.5">
      <c r="A347" s="1"/>
    </row>
    <row r="348" spans="1:1" x14ac:dyDescent="0.5">
      <c r="A348" s="1"/>
    </row>
    <row r="349" spans="1:1" x14ac:dyDescent="0.5">
      <c r="A349" s="1"/>
    </row>
    <row r="350" spans="1:1" x14ac:dyDescent="0.5">
      <c r="A350" s="1"/>
    </row>
    <row r="351" spans="1:1" x14ac:dyDescent="0.5">
      <c r="A351" s="1"/>
    </row>
    <row r="352" spans="1:1" x14ac:dyDescent="0.5">
      <c r="A352" s="1"/>
    </row>
    <row r="353" spans="1:2" x14ac:dyDescent="0.5">
      <c r="A353" s="1"/>
    </row>
    <row r="354" spans="1:2" x14ac:dyDescent="0.5">
      <c r="A354" s="1"/>
    </row>
    <row r="355" spans="1:2" x14ac:dyDescent="0.5">
      <c r="A355" s="1"/>
    </row>
    <row r="356" spans="1:2" x14ac:dyDescent="0.5">
      <c r="A356" s="1"/>
    </row>
    <row r="357" spans="1:2" x14ac:dyDescent="0.5">
      <c r="A357" s="1"/>
    </row>
    <row r="358" spans="1:2" x14ac:dyDescent="0.5">
      <c r="A358" s="1"/>
    </row>
    <row r="359" spans="1:2" x14ac:dyDescent="0.5">
      <c r="A359" s="1"/>
    </row>
    <row r="360" spans="1:2" x14ac:dyDescent="0.5">
      <c r="A360" s="1"/>
    </row>
    <row r="361" spans="1:2" x14ac:dyDescent="0.5">
      <c r="A361" s="1"/>
    </row>
    <row r="362" spans="1:2" x14ac:dyDescent="0.5">
      <c r="A362" s="1"/>
    </row>
    <row r="363" spans="1:2" x14ac:dyDescent="0.5">
      <c r="A363" s="1"/>
      <c r="B363" s="28"/>
    </row>
    <row r="364" spans="1:2" x14ac:dyDescent="0.5">
      <c r="A364" s="1"/>
    </row>
    <row r="365" spans="1:2" x14ac:dyDescent="0.5">
      <c r="A365" s="1"/>
    </row>
    <row r="366" spans="1:2" x14ac:dyDescent="0.5">
      <c r="A366" s="1"/>
    </row>
    <row r="367" spans="1:2" x14ac:dyDescent="0.5">
      <c r="A367" s="1"/>
    </row>
    <row r="368" spans="1:2" x14ac:dyDescent="0.5">
      <c r="A368" s="1"/>
    </row>
    <row r="369" spans="1:2" x14ac:dyDescent="0.5">
      <c r="A369" s="1"/>
    </row>
    <row r="370" spans="1:2" x14ac:dyDescent="0.5">
      <c r="A370" s="1"/>
    </row>
    <row r="371" spans="1:2" x14ac:dyDescent="0.5">
      <c r="A371" s="1"/>
    </row>
    <row r="372" spans="1:2" x14ac:dyDescent="0.5">
      <c r="A372" s="1"/>
    </row>
    <row r="373" spans="1:2" x14ac:dyDescent="0.5">
      <c r="A373" s="1"/>
    </row>
    <row r="374" spans="1:2" x14ac:dyDescent="0.5">
      <c r="A374" s="1"/>
    </row>
    <row r="375" spans="1:2" x14ac:dyDescent="0.5">
      <c r="A375" s="1"/>
    </row>
    <row r="376" spans="1:2" x14ac:dyDescent="0.5">
      <c r="A376" s="1"/>
      <c r="B376" s="28"/>
    </row>
    <row r="377" spans="1:2" x14ac:dyDescent="0.5">
      <c r="A377" s="1"/>
    </row>
    <row r="378" spans="1:2" x14ac:dyDescent="0.5">
      <c r="A378" s="1"/>
    </row>
    <row r="379" spans="1:2" x14ac:dyDescent="0.5">
      <c r="A379" s="1"/>
    </row>
    <row r="380" spans="1:2" x14ac:dyDescent="0.5">
      <c r="A380" s="1"/>
    </row>
    <row r="381" spans="1:2" x14ac:dyDescent="0.5">
      <c r="A381" s="1"/>
    </row>
    <row r="382" spans="1:2" x14ac:dyDescent="0.5">
      <c r="A382" s="1"/>
    </row>
    <row r="383" spans="1:2" x14ac:dyDescent="0.5">
      <c r="A383" s="1"/>
    </row>
    <row r="384" spans="1:2" x14ac:dyDescent="0.5">
      <c r="A384" s="1"/>
    </row>
    <row r="385" spans="1:1" x14ac:dyDescent="0.5">
      <c r="A385" s="1"/>
    </row>
    <row r="386" spans="1:1" x14ac:dyDescent="0.5">
      <c r="A386" s="1"/>
    </row>
    <row r="387" spans="1:1" x14ac:dyDescent="0.5">
      <c r="A387" s="1"/>
    </row>
    <row r="388" spans="1:1" x14ac:dyDescent="0.5">
      <c r="A388" s="1"/>
    </row>
    <row r="389" spans="1:1" x14ac:dyDescent="0.5">
      <c r="A389" s="1"/>
    </row>
    <row r="390" spans="1:1" x14ac:dyDescent="0.5">
      <c r="A390" s="1"/>
    </row>
    <row r="391" spans="1:1" x14ac:dyDescent="0.5">
      <c r="A391" s="1"/>
    </row>
    <row r="392" spans="1:1" x14ac:dyDescent="0.5">
      <c r="A392" s="1"/>
    </row>
    <row r="393" spans="1:1" x14ac:dyDescent="0.5">
      <c r="A393" s="1"/>
    </row>
    <row r="394" spans="1:1" x14ac:dyDescent="0.5">
      <c r="A394" s="1"/>
    </row>
    <row r="395" spans="1:1" x14ac:dyDescent="0.5">
      <c r="A395" s="1"/>
    </row>
    <row r="396" spans="1:1" x14ac:dyDescent="0.5">
      <c r="A396" s="1"/>
    </row>
    <row r="397" spans="1:1" x14ac:dyDescent="0.5">
      <c r="A397" s="1"/>
    </row>
    <row r="398" spans="1:1" x14ac:dyDescent="0.5">
      <c r="A398" s="1"/>
    </row>
    <row r="399" spans="1:1" x14ac:dyDescent="0.5">
      <c r="A399" s="1"/>
    </row>
    <row r="400" spans="1:1" x14ac:dyDescent="0.5">
      <c r="A400" s="1"/>
    </row>
    <row r="401" spans="1:2" x14ac:dyDescent="0.5">
      <c r="A401" s="1"/>
    </row>
    <row r="402" spans="1:2" x14ac:dyDescent="0.5">
      <c r="A402" s="1"/>
    </row>
    <row r="403" spans="1:2" x14ac:dyDescent="0.5">
      <c r="A403" s="1"/>
    </row>
    <row r="404" spans="1:2" x14ac:dyDescent="0.5">
      <c r="A404" s="1"/>
    </row>
    <row r="405" spans="1:2" x14ac:dyDescent="0.5">
      <c r="A405" s="1"/>
    </row>
    <row r="406" spans="1:2" x14ac:dyDescent="0.5">
      <c r="A406" s="1"/>
    </row>
    <row r="407" spans="1:2" x14ac:dyDescent="0.5">
      <c r="A407" s="1"/>
    </row>
    <row r="408" spans="1:2" x14ac:dyDescent="0.5">
      <c r="A408" s="1"/>
    </row>
    <row r="409" spans="1:2" x14ac:dyDescent="0.5">
      <c r="A409" s="1"/>
    </row>
    <row r="410" spans="1:2" x14ac:dyDescent="0.5">
      <c r="A410" s="1"/>
      <c r="B410" s="28"/>
    </row>
    <row r="411" spans="1:2" x14ac:dyDescent="0.5">
      <c r="A411" s="1"/>
    </row>
    <row r="412" spans="1:2" x14ac:dyDescent="0.5">
      <c r="A412" s="1"/>
    </row>
    <row r="413" spans="1:2" x14ac:dyDescent="0.5">
      <c r="A413" s="1"/>
    </row>
    <row r="414" spans="1:2" x14ac:dyDescent="0.5">
      <c r="A414" s="1"/>
    </row>
    <row r="415" spans="1:2" x14ac:dyDescent="0.5">
      <c r="A415" s="1"/>
    </row>
    <row r="416" spans="1:2" x14ac:dyDescent="0.5">
      <c r="A416" s="1"/>
    </row>
    <row r="417" spans="1:1" x14ac:dyDescent="0.5">
      <c r="A417" s="1"/>
    </row>
    <row r="418" spans="1:1" x14ac:dyDescent="0.5">
      <c r="A418" s="1"/>
    </row>
    <row r="419" spans="1:1" x14ac:dyDescent="0.5">
      <c r="A419" s="1"/>
    </row>
    <row r="420" spans="1:1" x14ac:dyDescent="0.5">
      <c r="A420" s="1"/>
    </row>
    <row r="421" spans="1:1" x14ac:dyDescent="0.5">
      <c r="A421" s="1"/>
    </row>
    <row r="422" spans="1:1" x14ac:dyDescent="0.5">
      <c r="A422" s="1"/>
    </row>
    <row r="423" spans="1:1" x14ac:dyDescent="0.5">
      <c r="A423" s="1"/>
    </row>
    <row r="424" spans="1:1" x14ac:dyDescent="0.5">
      <c r="A424" s="1"/>
    </row>
    <row r="425" spans="1:1" x14ac:dyDescent="0.5">
      <c r="A425" s="1"/>
    </row>
    <row r="426" spans="1:1" x14ac:dyDescent="0.5">
      <c r="A426" s="1"/>
    </row>
    <row r="427" spans="1:1" x14ac:dyDescent="0.5">
      <c r="A427" s="1"/>
    </row>
    <row r="428" spans="1:1" x14ac:dyDescent="0.5">
      <c r="A428" s="1"/>
    </row>
    <row r="429" spans="1:1" x14ac:dyDescent="0.5">
      <c r="A429" s="1"/>
    </row>
    <row r="430" spans="1:1" x14ac:dyDescent="0.5">
      <c r="A430" s="1"/>
    </row>
    <row r="431" spans="1:1" x14ac:dyDescent="0.5">
      <c r="A431" s="1"/>
    </row>
    <row r="432" spans="1:1" x14ac:dyDescent="0.5">
      <c r="A432" s="1"/>
    </row>
    <row r="433" spans="1:1" x14ac:dyDescent="0.5">
      <c r="A433" s="1"/>
    </row>
    <row r="434" spans="1:1" x14ac:dyDescent="0.5">
      <c r="A434" s="1"/>
    </row>
    <row r="435" spans="1:1" x14ac:dyDescent="0.5">
      <c r="A435" s="1"/>
    </row>
    <row r="436" spans="1:1" x14ac:dyDescent="0.5">
      <c r="A436" s="1"/>
    </row>
    <row r="437" spans="1:1" x14ac:dyDescent="0.5">
      <c r="A437" s="1"/>
    </row>
    <row r="438" spans="1:1" x14ac:dyDescent="0.5">
      <c r="A438" s="1"/>
    </row>
    <row r="439" spans="1:1" x14ac:dyDescent="0.5">
      <c r="A439" s="1"/>
    </row>
    <row r="440" spans="1:1" x14ac:dyDescent="0.5">
      <c r="A440" s="1"/>
    </row>
    <row r="441" spans="1:1" x14ac:dyDescent="0.5">
      <c r="A441" s="1"/>
    </row>
    <row r="442" spans="1:1" x14ac:dyDescent="0.5">
      <c r="A442" s="1"/>
    </row>
    <row r="443" spans="1:1" x14ac:dyDescent="0.5">
      <c r="A443" s="1"/>
    </row>
    <row r="444" spans="1:1" x14ac:dyDescent="0.5">
      <c r="A444" s="1"/>
    </row>
    <row r="445" spans="1:1" x14ac:dyDescent="0.5">
      <c r="A445" s="1"/>
    </row>
    <row r="446" spans="1:1" x14ac:dyDescent="0.5">
      <c r="A446" s="1"/>
    </row>
    <row r="447" spans="1:1" x14ac:dyDescent="0.5">
      <c r="A447" s="1"/>
    </row>
    <row r="448" spans="1:1" x14ac:dyDescent="0.5">
      <c r="A448" s="1"/>
    </row>
    <row r="449" spans="1:1" x14ac:dyDescent="0.5">
      <c r="A449" s="1"/>
    </row>
    <row r="450" spans="1:1" x14ac:dyDescent="0.5">
      <c r="A450" s="1"/>
    </row>
    <row r="451" spans="1:1" x14ac:dyDescent="0.5">
      <c r="A451" s="1"/>
    </row>
    <row r="452" spans="1:1" x14ac:dyDescent="0.5">
      <c r="A452" s="1"/>
    </row>
    <row r="453" spans="1:1" x14ac:dyDescent="0.5">
      <c r="A453" s="1"/>
    </row>
    <row r="454" spans="1:1" x14ac:dyDescent="0.5">
      <c r="A454" s="1"/>
    </row>
    <row r="455" spans="1:1" x14ac:dyDescent="0.5">
      <c r="A455" s="1"/>
    </row>
    <row r="456" spans="1:1" x14ac:dyDescent="0.5">
      <c r="A456" s="1"/>
    </row>
    <row r="457" spans="1:1" x14ac:dyDescent="0.5">
      <c r="A457" s="1"/>
    </row>
    <row r="458" spans="1:1" x14ac:dyDescent="0.5">
      <c r="A458" s="1"/>
    </row>
    <row r="459" spans="1:1" x14ac:dyDescent="0.5">
      <c r="A459" s="1"/>
    </row>
    <row r="460" spans="1:1" x14ac:dyDescent="0.5">
      <c r="A460" s="1"/>
    </row>
    <row r="461" spans="1:1" x14ac:dyDescent="0.5">
      <c r="A461" s="1"/>
    </row>
    <row r="462" spans="1:1" x14ac:dyDescent="0.5">
      <c r="A462" s="1"/>
    </row>
    <row r="463" spans="1:1" x14ac:dyDescent="0.5">
      <c r="A463" s="1"/>
    </row>
    <row r="464" spans="1:1" x14ac:dyDescent="0.5">
      <c r="A464" s="1"/>
    </row>
    <row r="465" spans="1:1" x14ac:dyDescent="0.5">
      <c r="A465" s="1"/>
    </row>
    <row r="466" spans="1:1" x14ac:dyDescent="0.5">
      <c r="A466" s="1"/>
    </row>
    <row r="467" spans="1:1" x14ac:dyDescent="0.5">
      <c r="A467" s="1"/>
    </row>
    <row r="468" spans="1:1" x14ac:dyDescent="0.5">
      <c r="A468" s="1"/>
    </row>
    <row r="469" spans="1:1" x14ac:dyDescent="0.5">
      <c r="A469" s="1"/>
    </row>
    <row r="470" spans="1:1" x14ac:dyDescent="0.5">
      <c r="A470" s="1"/>
    </row>
    <row r="471" spans="1:1" x14ac:dyDescent="0.5">
      <c r="A471" s="1"/>
    </row>
    <row r="472" spans="1:1" x14ac:dyDescent="0.5">
      <c r="A472" s="1"/>
    </row>
    <row r="473" spans="1:1" x14ac:dyDescent="0.5">
      <c r="A473" s="1"/>
    </row>
    <row r="474" spans="1:1" x14ac:dyDescent="0.5">
      <c r="A474" s="1"/>
    </row>
    <row r="475" spans="1:1" x14ac:dyDescent="0.5">
      <c r="A475" s="1"/>
    </row>
    <row r="476" spans="1:1" x14ac:dyDescent="0.5">
      <c r="A476" s="1"/>
    </row>
    <row r="477" spans="1:1" x14ac:dyDescent="0.5">
      <c r="A477" s="1"/>
    </row>
    <row r="478" spans="1:1" x14ac:dyDescent="0.5">
      <c r="A478" s="1"/>
    </row>
    <row r="479" spans="1:1" x14ac:dyDescent="0.5">
      <c r="A479" s="1"/>
    </row>
    <row r="480" spans="1:1" x14ac:dyDescent="0.5">
      <c r="A480" s="1"/>
    </row>
    <row r="481" spans="1:1" x14ac:dyDescent="0.5">
      <c r="A481" s="1"/>
    </row>
    <row r="482" spans="1:1" x14ac:dyDescent="0.5">
      <c r="A482" s="1"/>
    </row>
    <row r="483" spans="1:1" x14ac:dyDescent="0.5">
      <c r="A483" s="1"/>
    </row>
    <row r="484" spans="1:1" x14ac:dyDescent="0.5">
      <c r="A484" s="1"/>
    </row>
    <row r="485" spans="1:1" x14ac:dyDescent="0.5">
      <c r="A485" s="1"/>
    </row>
    <row r="486" spans="1:1" x14ac:dyDescent="0.5">
      <c r="A486" s="1"/>
    </row>
    <row r="487" spans="1:1" x14ac:dyDescent="0.5">
      <c r="A487" s="1"/>
    </row>
    <row r="488" spans="1:1" x14ac:dyDescent="0.5">
      <c r="A488" s="1"/>
    </row>
    <row r="489" spans="1:1" x14ac:dyDescent="0.5">
      <c r="A489" s="1"/>
    </row>
    <row r="490" spans="1:1" x14ac:dyDescent="0.5">
      <c r="A490" s="1"/>
    </row>
    <row r="491" spans="1:1" x14ac:dyDescent="0.5">
      <c r="A491" s="1"/>
    </row>
    <row r="492" spans="1:1" x14ac:dyDescent="0.5">
      <c r="A492" s="1"/>
    </row>
    <row r="493" spans="1:1" x14ac:dyDescent="0.5">
      <c r="A493" s="1"/>
    </row>
    <row r="494" spans="1:1" x14ac:dyDescent="0.5">
      <c r="A494" s="1"/>
    </row>
    <row r="495" spans="1:1" x14ac:dyDescent="0.5">
      <c r="A495" s="1"/>
    </row>
    <row r="496" spans="1:1" x14ac:dyDescent="0.5">
      <c r="A496" s="1"/>
    </row>
    <row r="497" spans="1:1" x14ac:dyDescent="0.5">
      <c r="A497" s="1"/>
    </row>
    <row r="498" spans="1:1" x14ac:dyDescent="0.5">
      <c r="A498" s="1"/>
    </row>
    <row r="499" spans="1:1" x14ac:dyDescent="0.5">
      <c r="A499" s="1"/>
    </row>
    <row r="500" spans="1:1" x14ac:dyDescent="0.5">
      <c r="A500" s="1"/>
    </row>
    <row r="501" spans="1:1" x14ac:dyDescent="0.5">
      <c r="A501" s="1"/>
    </row>
    <row r="502" spans="1:1" x14ac:dyDescent="0.5">
      <c r="A502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24E0E-7CD1-B648-9A4E-8C7C35D78C06}">
  <sheetPr codeName="Sheet2"/>
  <dimension ref="A1:C504"/>
  <sheetViews>
    <sheetView topLeftCell="A468" workbookViewId="0">
      <selection activeCell="B1" activeCellId="1" sqref="A1:A1048576 B1:B1048576"/>
    </sheetView>
  </sheetViews>
  <sheetFormatPr defaultColWidth="11" defaultRowHeight="15.75" x14ac:dyDescent="0.5"/>
  <cols>
    <col min="1" max="1" width="9.75" bestFit="1" customWidth="1"/>
    <col min="2" max="2" width="32.25" bestFit="1" customWidth="1"/>
    <col min="3" max="3" width="21.75" bestFit="1" customWidth="1"/>
    <col min="5" max="5" width="12.5" bestFit="1" customWidth="1"/>
  </cols>
  <sheetData>
    <row r="1" spans="1:3" x14ac:dyDescent="0.5">
      <c r="A1" t="s">
        <v>0</v>
      </c>
      <c r="B1" t="s">
        <v>1</v>
      </c>
      <c r="C1" t="s">
        <v>2</v>
      </c>
    </row>
    <row r="2" spans="1:3" x14ac:dyDescent="0.5">
      <c r="A2" t="s">
        <v>3</v>
      </c>
      <c r="B2" t="s">
        <v>4</v>
      </c>
      <c r="C2" t="s">
        <v>5</v>
      </c>
    </row>
    <row r="3" spans="1:3" x14ac:dyDescent="0.5">
      <c r="A3" t="s">
        <v>6</v>
      </c>
      <c r="B3" t="s">
        <v>7</v>
      </c>
      <c r="C3" t="s">
        <v>5</v>
      </c>
    </row>
    <row r="4" spans="1:3" x14ac:dyDescent="0.5">
      <c r="A4" t="s">
        <v>8</v>
      </c>
      <c r="B4" t="s">
        <v>9</v>
      </c>
      <c r="C4" t="s">
        <v>10</v>
      </c>
    </row>
    <row r="5" spans="1:3" x14ac:dyDescent="0.5">
      <c r="A5" t="s">
        <v>11</v>
      </c>
      <c r="B5" t="s">
        <v>12</v>
      </c>
      <c r="C5" t="s">
        <v>10</v>
      </c>
    </row>
    <row r="6" spans="1:3" x14ac:dyDescent="0.5">
      <c r="A6" t="s">
        <v>13</v>
      </c>
      <c r="B6" t="s">
        <v>14</v>
      </c>
      <c r="C6" t="s">
        <v>15</v>
      </c>
    </row>
    <row r="7" spans="1:3" x14ac:dyDescent="0.5">
      <c r="A7" t="s">
        <v>16</v>
      </c>
      <c r="B7" t="s">
        <v>17</v>
      </c>
      <c r="C7" t="s">
        <v>15</v>
      </c>
    </row>
    <row r="8" spans="1:3" x14ac:dyDescent="0.5">
      <c r="A8" t="s">
        <v>18</v>
      </c>
      <c r="B8" t="s">
        <v>19</v>
      </c>
      <c r="C8" t="s">
        <v>15</v>
      </c>
    </row>
    <row r="9" spans="1:3" x14ac:dyDescent="0.5">
      <c r="A9" t="s">
        <v>20</v>
      </c>
      <c r="B9" t="s">
        <v>21</v>
      </c>
      <c r="C9" t="s">
        <v>22</v>
      </c>
    </row>
    <row r="10" spans="1:3" x14ac:dyDescent="0.5">
      <c r="A10" t="s">
        <v>23</v>
      </c>
      <c r="B10" t="s">
        <v>24</v>
      </c>
      <c r="C10" t="s">
        <v>25</v>
      </c>
    </row>
    <row r="11" spans="1:3" x14ac:dyDescent="0.5">
      <c r="A11" t="s">
        <v>26</v>
      </c>
      <c r="B11" t="s">
        <v>27</v>
      </c>
      <c r="C11" t="s">
        <v>10</v>
      </c>
    </row>
    <row r="12" spans="1:3" x14ac:dyDescent="0.5">
      <c r="A12" t="s">
        <v>28</v>
      </c>
      <c r="B12" t="s">
        <v>29</v>
      </c>
      <c r="C12" t="s">
        <v>30</v>
      </c>
    </row>
    <row r="13" spans="1:3" x14ac:dyDescent="0.5">
      <c r="A13" t="s">
        <v>31</v>
      </c>
      <c r="B13" t="s">
        <v>32</v>
      </c>
      <c r="C13" t="s">
        <v>33</v>
      </c>
    </row>
    <row r="14" spans="1:3" x14ac:dyDescent="0.5">
      <c r="A14" t="s">
        <v>34</v>
      </c>
      <c r="B14" t="s">
        <v>35</v>
      </c>
      <c r="C14" t="s">
        <v>15</v>
      </c>
    </row>
    <row r="15" spans="1:3" x14ac:dyDescent="0.5">
      <c r="A15" t="s">
        <v>36</v>
      </c>
      <c r="B15" t="s">
        <v>37</v>
      </c>
      <c r="C15" t="s">
        <v>30</v>
      </c>
    </row>
    <row r="16" spans="1:3" x14ac:dyDescent="0.5">
      <c r="A16" t="s">
        <v>38</v>
      </c>
      <c r="B16" t="s">
        <v>39</v>
      </c>
      <c r="C16" t="s">
        <v>40</v>
      </c>
    </row>
    <row r="17" spans="1:3" x14ac:dyDescent="0.5">
      <c r="A17" t="s">
        <v>41</v>
      </c>
      <c r="B17" t="s">
        <v>42</v>
      </c>
      <c r="C17" t="s">
        <v>10</v>
      </c>
    </row>
    <row r="18" spans="1:3" x14ac:dyDescent="0.5">
      <c r="A18" t="s">
        <v>43</v>
      </c>
      <c r="B18" t="s">
        <v>44</v>
      </c>
      <c r="C18" t="s">
        <v>5</v>
      </c>
    </row>
    <row r="19" spans="1:3" x14ac:dyDescent="0.5">
      <c r="A19" t="s">
        <v>45</v>
      </c>
      <c r="B19" t="s">
        <v>46</v>
      </c>
      <c r="C19" t="s">
        <v>22</v>
      </c>
    </row>
    <row r="20" spans="1:3" x14ac:dyDescent="0.5">
      <c r="A20" t="s">
        <v>47</v>
      </c>
      <c r="B20" t="s">
        <v>48</v>
      </c>
      <c r="C20" t="s">
        <v>25</v>
      </c>
    </row>
    <row r="21" spans="1:3" x14ac:dyDescent="0.5">
      <c r="A21" t="s">
        <v>49</v>
      </c>
      <c r="B21" t="s">
        <v>50</v>
      </c>
      <c r="C21" t="s">
        <v>51</v>
      </c>
    </row>
    <row r="22" spans="1:3" x14ac:dyDescent="0.5">
      <c r="A22" t="s">
        <v>52</v>
      </c>
      <c r="B22" t="s">
        <v>53</v>
      </c>
      <c r="C22" t="s">
        <v>51</v>
      </c>
    </row>
    <row r="23" spans="1:3" x14ac:dyDescent="0.5">
      <c r="A23" t="s">
        <v>54</v>
      </c>
      <c r="B23" t="s">
        <v>55</v>
      </c>
      <c r="C23" t="s">
        <v>56</v>
      </c>
    </row>
    <row r="24" spans="1:3" x14ac:dyDescent="0.5">
      <c r="A24" t="s">
        <v>57</v>
      </c>
      <c r="B24" t="s">
        <v>58</v>
      </c>
      <c r="C24" t="s">
        <v>33</v>
      </c>
    </row>
    <row r="25" spans="1:3" x14ac:dyDescent="0.5">
      <c r="A25" t="s">
        <v>59</v>
      </c>
      <c r="B25" t="s">
        <v>60</v>
      </c>
      <c r="C25" t="s">
        <v>30</v>
      </c>
    </row>
    <row r="26" spans="1:3" x14ac:dyDescent="0.5">
      <c r="A26" t="s">
        <v>61</v>
      </c>
      <c r="B26" t="s">
        <v>62</v>
      </c>
      <c r="C26" t="s">
        <v>5</v>
      </c>
    </row>
    <row r="27" spans="1:3" x14ac:dyDescent="0.5">
      <c r="A27" t="s">
        <v>63</v>
      </c>
      <c r="B27" t="s">
        <v>64</v>
      </c>
      <c r="C27" t="s">
        <v>22</v>
      </c>
    </row>
    <row r="28" spans="1:3" x14ac:dyDescent="0.5">
      <c r="A28" t="s">
        <v>65</v>
      </c>
      <c r="B28" t="s">
        <v>66</v>
      </c>
      <c r="C28" t="s">
        <v>22</v>
      </c>
    </row>
    <row r="29" spans="1:3" x14ac:dyDescent="0.5">
      <c r="A29" t="s">
        <v>67</v>
      </c>
      <c r="B29" t="s">
        <v>68</v>
      </c>
      <c r="C29" t="s">
        <v>25</v>
      </c>
    </row>
    <row r="30" spans="1:3" x14ac:dyDescent="0.5">
      <c r="A30" t="s">
        <v>69</v>
      </c>
      <c r="B30" t="s">
        <v>70</v>
      </c>
      <c r="C30" t="s">
        <v>25</v>
      </c>
    </row>
    <row r="31" spans="1:3" x14ac:dyDescent="0.5">
      <c r="A31" t="s">
        <v>71</v>
      </c>
      <c r="B31" t="s">
        <v>72</v>
      </c>
      <c r="C31" t="s">
        <v>40</v>
      </c>
    </row>
    <row r="32" spans="1:3" x14ac:dyDescent="0.5">
      <c r="A32" t="s">
        <v>73</v>
      </c>
      <c r="B32" t="s">
        <v>74</v>
      </c>
      <c r="C32" t="s">
        <v>22</v>
      </c>
    </row>
    <row r="33" spans="1:3" x14ac:dyDescent="0.5">
      <c r="A33" t="s">
        <v>75</v>
      </c>
      <c r="B33" t="s">
        <v>76</v>
      </c>
      <c r="C33" t="s">
        <v>25</v>
      </c>
    </row>
    <row r="34" spans="1:3" x14ac:dyDescent="0.5">
      <c r="A34" t="s">
        <v>77</v>
      </c>
      <c r="B34" t="s">
        <v>78</v>
      </c>
      <c r="C34" t="s">
        <v>5</v>
      </c>
    </row>
    <row r="35" spans="1:3" x14ac:dyDescent="0.5">
      <c r="A35" t="s">
        <v>79</v>
      </c>
      <c r="B35" t="s">
        <v>80</v>
      </c>
      <c r="C35" t="s">
        <v>10</v>
      </c>
    </row>
    <row r="36" spans="1:3" x14ac:dyDescent="0.5">
      <c r="A36" t="s">
        <v>81</v>
      </c>
      <c r="B36" t="s">
        <v>82</v>
      </c>
      <c r="C36" t="s">
        <v>15</v>
      </c>
    </row>
    <row r="37" spans="1:3" x14ac:dyDescent="0.5">
      <c r="A37" t="s">
        <v>83</v>
      </c>
      <c r="B37" t="s">
        <v>84</v>
      </c>
      <c r="C37" t="s">
        <v>15</v>
      </c>
    </row>
    <row r="38" spans="1:3" x14ac:dyDescent="0.5">
      <c r="A38" t="s">
        <v>85</v>
      </c>
      <c r="B38" t="s">
        <v>86</v>
      </c>
      <c r="C38" t="s">
        <v>15</v>
      </c>
    </row>
    <row r="39" spans="1:3" x14ac:dyDescent="0.5">
      <c r="A39" t="s">
        <v>87</v>
      </c>
      <c r="B39" t="s">
        <v>88</v>
      </c>
      <c r="C39" t="s">
        <v>25</v>
      </c>
    </row>
    <row r="40" spans="1:3" x14ac:dyDescent="0.5">
      <c r="A40" t="s">
        <v>89</v>
      </c>
      <c r="B40" t="s">
        <v>90</v>
      </c>
      <c r="C40" t="s">
        <v>91</v>
      </c>
    </row>
    <row r="41" spans="1:3" x14ac:dyDescent="0.5">
      <c r="A41" t="s">
        <v>92</v>
      </c>
      <c r="B41" t="s">
        <v>93</v>
      </c>
      <c r="C41" t="s">
        <v>15</v>
      </c>
    </row>
    <row r="42" spans="1:3" x14ac:dyDescent="0.5">
      <c r="A42" t="s">
        <v>94</v>
      </c>
      <c r="B42" t="s">
        <v>95</v>
      </c>
      <c r="C42" t="s">
        <v>15</v>
      </c>
    </row>
    <row r="43" spans="1:3" x14ac:dyDescent="0.5">
      <c r="A43" t="s">
        <v>96</v>
      </c>
      <c r="B43" t="s">
        <v>97</v>
      </c>
      <c r="C43" t="s">
        <v>33</v>
      </c>
    </row>
    <row r="44" spans="1:3" x14ac:dyDescent="0.5">
      <c r="A44" t="s">
        <v>98</v>
      </c>
      <c r="B44" t="s">
        <v>99</v>
      </c>
      <c r="C44" t="s">
        <v>25</v>
      </c>
    </row>
    <row r="45" spans="1:3" x14ac:dyDescent="0.5">
      <c r="A45" t="s">
        <v>100</v>
      </c>
      <c r="B45" t="s">
        <v>101</v>
      </c>
      <c r="C45" t="s">
        <v>56</v>
      </c>
    </row>
    <row r="46" spans="1:3" x14ac:dyDescent="0.5">
      <c r="A46" t="s">
        <v>102</v>
      </c>
      <c r="B46" t="s">
        <v>103</v>
      </c>
      <c r="C46" t="s">
        <v>15</v>
      </c>
    </row>
    <row r="47" spans="1:3" x14ac:dyDescent="0.5">
      <c r="A47" t="s">
        <v>104</v>
      </c>
      <c r="B47" t="s">
        <v>105</v>
      </c>
      <c r="C47" t="s">
        <v>25</v>
      </c>
    </row>
    <row r="48" spans="1:3" x14ac:dyDescent="0.5">
      <c r="A48" t="s">
        <v>106</v>
      </c>
      <c r="B48" t="s">
        <v>107</v>
      </c>
      <c r="C48" t="s">
        <v>25</v>
      </c>
    </row>
    <row r="49" spans="1:3" x14ac:dyDescent="0.5">
      <c r="A49" t="s">
        <v>108</v>
      </c>
      <c r="B49" t="s">
        <v>109</v>
      </c>
      <c r="C49" t="s">
        <v>51</v>
      </c>
    </row>
    <row r="50" spans="1:3" x14ac:dyDescent="0.5">
      <c r="A50" t="s">
        <v>110</v>
      </c>
      <c r="B50" t="s">
        <v>111</v>
      </c>
      <c r="C50" t="s">
        <v>22</v>
      </c>
    </row>
    <row r="51" spans="1:3" x14ac:dyDescent="0.5">
      <c r="A51" t="s">
        <v>112</v>
      </c>
      <c r="B51" t="s">
        <v>113</v>
      </c>
      <c r="C51" t="s">
        <v>15</v>
      </c>
    </row>
    <row r="52" spans="1:3" x14ac:dyDescent="0.5">
      <c r="A52" t="s">
        <v>114</v>
      </c>
      <c r="B52" t="s">
        <v>115</v>
      </c>
      <c r="C52" t="s">
        <v>5</v>
      </c>
    </row>
    <row r="53" spans="1:3" x14ac:dyDescent="0.5">
      <c r="A53" t="s">
        <v>116</v>
      </c>
      <c r="B53" t="s">
        <v>117</v>
      </c>
      <c r="C53" t="s">
        <v>33</v>
      </c>
    </row>
    <row r="54" spans="1:3" x14ac:dyDescent="0.5">
      <c r="A54" t="s">
        <v>118</v>
      </c>
      <c r="B54" t="s">
        <v>119</v>
      </c>
      <c r="C54" t="s">
        <v>40</v>
      </c>
    </row>
    <row r="55" spans="1:3" x14ac:dyDescent="0.5">
      <c r="A55" t="s">
        <v>120</v>
      </c>
      <c r="B55" t="s">
        <v>121</v>
      </c>
      <c r="C55" t="s">
        <v>30</v>
      </c>
    </row>
    <row r="56" spans="1:3" x14ac:dyDescent="0.5">
      <c r="A56" t="s">
        <v>122</v>
      </c>
      <c r="B56" t="s">
        <v>123</v>
      </c>
      <c r="C56" t="s">
        <v>5</v>
      </c>
    </row>
    <row r="57" spans="1:3" x14ac:dyDescent="0.5">
      <c r="A57" t="s">
        <v>124</v>
      </c>
      <c r="B57" t="s">
        <v>125</v>
      </c>
      <c r="C57" t="s">
        <v>91</v>
      </c>
    </row>
    <row r="58" spans="1:3" x14ac:dyDescent="0.5">
      <c r="A58" t="s">
        <v>126</v>
      </c>
      <c r="B58" t="s">
        <v>127</v>
      </c>
      <c r="C58" t="s">
        <v>30</v>
      </c>
    </row>
    <row r="59" spans="1:3" x14ac:dyDescent="0.5">
      <c r="A59" t="s">
        <v>128</v>
      </c>
      <c r="B59" t="s">
        <v>129</v>
      </c>
      <c r="C59" t="s">
        <v>25</v>
      </c>
    </row>
    <row r="60" spans="1:3" x14ac:dyDescent="0.5">
      <c r="A60" t="s">
        <v>130</v>
      </c>
      <c r="B60" t="s">
        <v>131</v>
      </c>
      <c r="C60" t="s">
        <v>10</v>
      </c>
    </row>
    <row r="61" spans="1:3" x14ac:dyDescent="0.5">
      <c r="A61" t="s">
        <v>132</v>
      </c>
      <c r="B61" t="s">
        <v>133</v>
      </c>
      <c r="C61" t="s">
        <v>10</v>
      </c>
    </row>
    <row r="62" spans="1:3" x14ac:dyDescent="0.5">
      <c r="A62" t="s">
        <v>134</v>
      </c>
      <c r="B62" t="s">
        <v>135</v>
      </c>
      <c r="C62" t="s">
        <v>25</v>
      </c>
    </row>
    <row r="63" spans="1:3" x14ac:dyDescent="0.5">
      <c r="A63" t="s">
        <v>136</v>
      </c>
      <c r="B63" t="s">
        <v>137</v>
      </c>
      <c r="C63" t="s">
        <v>33</v>
      </c>
    </row>
    <row r="64" spans="1:3" x14ac:dyDescent="0.5">
      <c r="A64" t="s">
        <v>138</v>
      </c>
      <c r="B64" t="s">
        <v>139</v>
      </c>
      <c r="C64" t="s">
        <v>10</v>
      </c>
    </row>
    <row r="65" spans="1:3" x14ac:dyDescent="0.5">
      <c r="A65" t="s">
        <v>140</v>
      </c>
      <c r="B65" t="s">
        <v>141</v>
      </c>
      <c r="C65" t="s">
        <v>10</v>
      </c>
    </row>
    <row r="66" spans="1:3" x14ac:dyDescent="0.5">
      <c r="A66" t="s">
        <v>142</v>
      </c>
      <c r="B66" t="s">
        <v>143</v>
      </c>
      <c r="C66" t="s">
        <v>25</v>
      </c>
    </row>
    <row r="67" spans="1:3" x14ac:dyDescent="0.5">
      <c r="A67" t="s">
        <v>144</v>
      </c>
      <c r="B67" t="s">
        <v>145</v>
      </c>
      <c r="C67" t="s">
        <v>25</v>
      </c>
    </row>
    <row r="68" spans="1:3" x14ac:dyDescent="0.5">
      <c r="A68" t="s">
        <v>146</v>
      </c>
      <c r="B68" t="s">
        <v>147</v>
      </c>
      <c r="C68" t="s">
        <v>25</v>
      </c>
    </row>
    <row r="69" spans="1:3" x14ac:dyDescent="0.5">
      <c r="A69" t="s">
        <v>148</v>
      </c>
      <c r="B69" t="s">
        <v>149</v>
      </c>
      <c r="C69" t="s">
        <v>5</v>
      </c>
    </row>
    <row r="70" spans="1:3" x14ac:dyDescent="0.5">
      <c r="A70" t="s">
        <v>150</v>
      </c>
      <c r="B70" t="s">
        <v>151</v>
      </c>
      <c r="C70" t="s">
        <v>33</v>
      </c>
    </row>
    <row r="71" spans="1:3" x14ac:dyDescent="0.5">
      <c r="A71" t="s">
        <v>152</v>
      </c>
      <c r="B71" t="s">
        <v>153</v>
      </c>
      <c r="C71" t="s">
        <v>33</v>
      </c>
    </row>
    <row r="72" spans="1:3" x14ac:dyDescent="0.5">
      <c r="A72" t="s">
        <v>154</v>
      </c>
      <c r="B72" t="s">
        <v>155</v>
      </c>
      <c r="C72" t="s">
        <v>10</v>
      </c>
    </row>
    <row r="73" spans="1:3" x14ac:dyDescent="0.5">
      <c r="A73" t="s">
        <v>156</v>
      </c>
      <c r="B73" t="s">
        <v>157</v>
      </c>
      <c r="C73" t="s">
        <v>10</v>
      </c>
    </row>
    <row r="74" spans="1:3" x14ac:dyDescent="0.5">
      <c r="A74" t="s">
        <v>158</v>
      </c>
      <c r="B74" t="s">
        <v>159</v>
      </c>
      <c r="C74" t="s">
        <v>15</v>
      </c>
    </row>
    <row r="75" spans="1:3" x14ac:dyDescent="0.5">
      <c r="A75" t="s">
        <v>160</v>
      </c>
      <c r="B75" t="s">
        <v>161</v>
      </c>
      <c r="C75" t="s">
        <v>5</v>
      </c>
    </row>
    <row r="76" spans="1:3" x14ac:dyDescent="0.5">
      <c r="A76" t="s">
        <v>162</v>
      </c>
      <c r="B76" t="s">
        <v>163</v>
      </c>
      <c r="C76" t="s">
        <v>25</v>
      </c>
    </row>
    <row r="77" spans="1:3" x14ac:dyDescent="0.5">
      <c r="A77" t="s">
        <v>164</v>
      </c>
      <c r="B77" t="s">
        <v>165</v>
      </c>
      <c r="C77" t="s">
        <v>56</v>
      </c>
    </row>
    <row r="78" spans="1:3" x14ac:dyDescent="0.5">
      <c r="A78" t="s">
        <v>166</v>
      </c>
      <c r="B78" t="s">
        <v>167</v>
      </c>
      <c r="C78" t="s">
        <v>5</v>
      </c>
    </row>
    <row r="79" spans="1:3" x14ac:dyDescent="0.5">
      <c r="A79" t="s">
        <v>168</v>
      </c>
      <c r="B79" t="s">
        <v>169</v>
      </c>
      <c r="C79" t="s">
        <v>56</v>
      </c>
    </row>
    <row r="80" spans="1:3" x14ac:dyDescent="0.5">
      <c r="A80" t="s">
        <v>170</v>
      </c>
      <c r="B80" t="s">
        <v>171</v>
      </c>
      <c r="C80" t="s">
        <v>40</v>
      </c>
    </row>
    <row r="81" spans="1:3" x14ac:dyDescent="0.5">
      <c r="A81" t="s">
        <v>172</v>
      </c>
      <c r="B81" t="s">
        <v>173</v>
      </c>
      <c r="C81" t="s">
        <v>5</v>
      </c>
    </row>
    <row r="82" spans="1:3" x14ac:dyDescent="0.5">
      <c r="A82" t="s">
        <v>174</v>
      </c>
      <c r="B82" t="s">
        <v>175</v>
      </c>
      <c r="C82" t="s">
        <v>15</v>
      </c>
    </row>
    <row r="83" spans="1:3" x14ac:dyDescent="0.5">
      <c r="A83" t="s">
        <v>176</v>
      </c>
      <c r="B83" t="s">
        <v>177</v>
      </c>
      <c r="C83" t="s">
        <v>33</v>
      </c>
    </row>
    <row r="84" spans="1:3" x14ac:dyDescent="0.5">
      <c r="A84" t="s">
        <v>178</v>
      </c>
      <c r="B84" t="s">
        <v>179</v>
      </c>
      <c r="C84" t="s">
        <v>40</v>
      </c>
    </row>
    <row r="85" spans="1:3" x14ac:dyDescent="0.5">
      <c r="A85" t="s">
        <v>180</v>
      </c>
      <c r="B85" t="s">
        <v>181</v>
      </c>
      <c r="C85" t="s">
        <v>56</v>
      </c>
    </row>
    <row r="86" spans="1:3" x14ac:dyDescent="0.5">
      <c r="A86" t="s">
        <v>182</v>
      </c>
      <c r="B86" t="s">
        <v>183</v>
      </c>
      <c r="C86" t="s">
        <v>25</v>
      </c>
    </row>
    <row r="87" spans="1:3" x14ac:dyDescent="0.5">
      <c r="A87" t="s">
        <v>184</v>
      </c>
      <c r="B87" t="s">
        <v>185</v>
      </c>
      <c r="C87" t="s">
        <v>10</v>
      </c>
    </row>
    <row r="88" spans="1:3" x14ac:dyDescent="0.5">
      <c r="A88" t="s">
        <v>186</v>
      </c>
      <c r="B88" t="s">
        <v>187</v>
      </c>
      <c r="C88" t="s">
        <v>33</v>
      </c>
    </row>
    <row r="89" spans="1:3" x14ac:dyDescent="0.5">
      <c r="A89" t="s">
        <v>188</v>
      </c>
      <c r="B89" t="s">
        <v>189</v>
      </c>
      <c r="C89" t="s">
        <v>33</v>
      </c>
    </row>
    <row r="90" spans="1:3" x14ac:dyDescent="0.5">
      <c r="A90" t="s">
        <v>190</v>
      </c>
      <c r="B90" t="s">
        <v>191</v>
      </c>
      <c r="C90" t="s">
        <v>5</v>
      </c>
    </row>
    <row r="91" spans="1:3" x14ac:dyDescent="0.5">
      <c r="A91" t="s">
        <v>192</v>
      </c>
      <c r="B91" t="s">
        <v>193</v>
      </c>
      <c r="C91" t="s">
        <v>10</v>
      </c>
    </row>
    <row r="92" spans="1:3" x14ac:dyDescent="0.5">
      <c r="A92" t="s">
        <v>194</v>
      </c>
      <c r="B92" t="s">
        <v>195</v>
      </c>
      <c r="C92" t="s">
        <v>5</v>
      </c>
    </row>
    <row r="93" spans="1:3" x14ac:dyDescent="0.5">
      <c r="A93" t="s">
        <v>196</v>
      </c>
      <c r="B93" t="s">
        <v>197</v>
      </c>
      <c r="C93" t="s">
        <v>25</v>
      </c>
    </row>
    <row r="94" spans="1:3" x14ac:dyDescent="0.5">
      <c r="A94" t="s">
        <v>198</v>
      </c>
      <c r="B94" t="s">
        <v>199</v>
      </c>
      <c r="C94" t="s">
        <v>40</v>
      </c>
    </row>
    <row r="95" spans="1:3" x14ac:dyDescent="0.5">
      <c r="A95" t="s">
        <v>200</v>
      </c>
      <c r="B95" t="s">
        <v>200</v>
      </c>
      <c r="C95" t="s">
        <v>15</v>
      </c>
    </row>
    <row r="96" spans="1:3" x14ac:dyDescent="0.5">
      <c r="A96" t="s">
        <v>201</v>
      </c>
      <c r="B96" t="s">
        <v>202</v>
      </c>
      <c r="C96" t="s">
        <v>30</v>
      </c>
    </row>
    <row r="97" spans="1:3" x14ac:dyDescent="0.5">
      <c r="A97" t="s">
        <v>203</v>
      </c>
      <c r="B97" t="s">
        <v>204</v>
      </c>
      <c r="C97" t="s">
        <v>10</v>
      </c>
    </row>
    <row r="98" spans="1:3" x14ac:dyDescent="0.5">
      <c r="A98" t="s">
        <v>205</v>
      </c>
      <c r="B98" t="s">
        <v>206</v>
      </c>
      <c r="C98" t="s">
        <v>10</v>
      </c>
    </row>
    <row r="99" spans="1:3" x14ac:dyDescent="0.5">
      <c r="A99" t="s">
        <v>207</v>
      </c>
      <c r="B99" t="s">
        <v>208</v>
      </c>
      <c r="C99" t="s">
        <v>22</v>
      </c>
    </row>
    <row r="100" spans="1:3" x14ac:dyDescent="0.5">
      <c r="A100" t="s">
        <v>209</v>
      </c>
      <c r="B100" t="s">
        <v>210</v>
      </c>
      <c r="C100" t="s">
        <v>30</v>
      </c>
    </row>
    <row r="101" spans="1:3" x14ac:dyDescent="0.5">
      <c r="A101" t="s">
        <v>211</v>
      </c>
      <c r="B101" t="s">
        <v>212</v>
      </c>
      <c r="C101" t="s">
        <v>10</v>
      </c>
    </row>
    <row r="102" spans="1:3" x14ac:dyDescent="0.5">
      <c r="A102" t="s">
        <v>213</v>
      </c>
      <c r="B102" t="s">
        <v>214</v>
      </c>
      <c r="C102" t="s">
        <v>25</v>
      </c>
    </row>
    <row r="103" spans="1:3" x14ac:dyDescent="0.5">
      <c r="A103" t="s">
        <v>215</v>
      </c>
      <c r="B103" t="s">
        <v>216</v>
      </c>
      <c r="C103" t="s">
        <v>51</v>
      </c>
    </row>
    <row r="104" spans="1:3" x14ac:dyDescent="0.5">
      <c r="A104" t="s">
        <v>217</v>
      </c>
      <c r="B104" t="s">
        <v>218</v>
      </c>
      <c r="C104" t="s">
        <v>91</v>
      </c>
    </row>
    <row r="105" spans="1:3" x14ac:dyDescent="0.5">
      <c r="A105" t="s">
        <v>219</v>
      </c>
      <c r="B105" t="s">
        <v>220</v>
      </c>
      <c r="C105" t="s">
        <v>33</v>
      </c>
    </row>
    <row r="106" spans="1:3" x14ac:dyDescent="0.5">
      <c r="A106" t="s">
        <v>221</v>
      </c>
      <c r="B106" t="s">
        <v>222</v>
      </c>
      <c r="C106" t="s">
        <v>25</v>
      </c>
    </row>
    <row r="107" spans="1:3" x14ac:dyDescent="0.5">
      <c r="A107" t="s">
        <v>223</v>
      </c>
      <c r="B107" t="s">
        <v>224</v>
      </c>
      <c r="C107" t="s">
        <v>56</v>
      </c>
    </row>
    <row r="108" spans="1:3" x14ac:dyDescent="0.5">
      <c r="A108" t="s">
        <v>225</v>
      </c>
      <c r="B108" t="s">
        <v>226</v>
      </c>
      <c r="C108" t="s">
        <v>10</v>
      </c>
    </row>
    <row r="109" spans="1:3" x14ac:dyDescent="0.5">
      <c r="A109" t="s">
        <v>227</v>
      </c>
      <c r="B109" t="s">
        <v>228</v>
      </c>
      <c r="C109" t="s">
        <v>25</v>
      </c>
    </row>
    <row r="110" spans="1:3" x14ac:dyDescent="0.5">
      <c r="A110" t="s">
        <v>229</v>
      </c>
      <c r="B110" t="s">
        <v>230</v>
      </c>
      <c r="C110" t="s">
        <v>5</v>
      </c>
    </row>
    <row r="111" spans="1:3" x14ac:dyDescent="0.5">
      <c r="A111" t="s">
        <v>231</v>
      </c>
      <c r="B111" t="s">
        <v>232</v>
      </c>
      <c r="C111" t="s">
        <v>15</v>
      </c>
    </row>
    <row r="112" spans="1:3" x14ac:dyDescent="0.5">
      <c r="A112" t="s">
        <v>233</v>
      </c>
      <c r="B112" t="s">
        <v>234</v>
      </c>
      <c r="C112" t="s">
        <v>25</v>
      </c>
    </row>
    <row r="113" spans="1:3" x14ac:dyDescent="0.5">
      <c r="A113" t="s">
        <v>235</v>
      </c>
      <c r="B113" t="s">
        <v>236</v>
      </c>
      <c r="C113" t="s">
        <v>25</v>
      </c>
    </row>
    <row r="114" spans="1:3" x14ac:dyDescent="0.5">
      <c r="A114" t="s">
        <v>237</v>
      </c>
      <c r="B114" t="s">
        <v>238</v>
      </c>
      <c r="C114" t="s">
        <v>56</v>
      </c>
    </row>
    <row r="115" spans="1:3" x14ac:dyDescent="0.5">
      <c r="A115" t="s">
        <v>239</v>
      </c>
      <c r="B115" t="s">
        <v>240</v>
      </c>
      <c r="C115" t="s">
        <v>25</v>
      </c>
    </row>
    <row r="116" spans="1:3" x14ac:dyDescent="0.5">
      <c r="A116" t="s">
        <v>241</v>
      </c>
      <c r="B116" t="s">
        <v>242</v>
      </c>
      <c r="C116" t="s">
        <v>22</v>
      </c>
    </row>
    <row r="117" spans="1:3" x14ac:dyDescent="0.5">
      <c r="A117" t="s">
        <v>243</v>
      </c>
      <c r="B117" t="s">
        <v>244</v>
      </c>
      <c r="C117" t="s">
        <v>56</v>
      </c>
    </row>
    <row r="118" spans="1:3" x14ac:dyDescent="0.5">
      <c r="A118" t="s">
        <v>245</v>
      </c>
      <c r="B118" t="s">
        <v>246</v>
      </c>
      <c r="C118" t="s">
        <v>15</v>
      </c>
    </row>
    <row r="119" spans="1:3" x14ac:dyDescent="0.5">
      <c r="A119" t="s">
        <v>247</v>
      </c>
      <c r="B119" t="s">
        <v>248</v>
      </c>
      <c r="C119" t="s">
        <v>56</v>
      </c>
    </row>
    <row r="120" spans="1:3" x14ac:dyDescent="0.5">
      <c r="A120" t="s">
        <v>249</v>
      </c>
      <c r="B120" t="s">
        <v>250</v>
      </c>
      <c r="C120" t="s">
        <v>51</v>
      </c>
    </row>
    <row r="121" spans="1:3" x14ac:dyDescent="0.5">
      <c r="A121" t="s">
        <v>251</v>
      </c>
      <c r="B121" t="s">
        <v>252</v>
      </c>
      <c r="C121" t="s">
        <v>56</v>
      </c>
    </row>
    <row r="122" spans="1:3" x14ac:dyDescent="0.5">
      <c r="A122" t="s">
        <v>253</v>
      </c>
      <c r="B122" t="s">
        <v>254</v>
      </c>
      <c r="C122" t="s">
        <v>91</v>
      </c>
    </row>
    <row r="123" spans="1:3" x14ac:dyDescent="0.5">
      <c r="A123" t="s">
        <v>255</v>
      </c>
      <c r="B123" t="s">
        <v>256</v>
      </c>
      <c r="C123" t="s">
        <v>22</v>
      </c>
    </row>
    <row r="124" spans="1:3" x14ac:dyDescent="0.5">
      <c r="A124" t="s">
        <v>257</v>
      </c>
      <c r="B124" t="s">
        <v>258</v>
      </c>
      <c r="C124" t="s">
        <v>56</v>
      </c>
    </row>
    <row r="125" spans="1:3" x14ac:dyDescent="0.5">
      <c r="A125" t="s">
        <v>259</v>
      </c>
      <c r="B125" t="s">
        <v>260</v>
      </c>
      <c r="C125" t="s">
        <v>22</v>
      </c>
    </row>
    <row r="126" spans="1:3" x14ac:dyDescent="0.5">
      <c r="A126" t="s">
        <v>261</v>
      </c>
      <c r="B126" t="s">
        <v>262</v>
      </c>
      <c r="C126" t="s">
        <v>10</v>
      </c>
    </row>
    <row r="127" spans="1:3" x14ac:dyDescent="0.5">
      <c r="A127" t="s">
        <v>263</v>
      </c>
      <c r="B127" t="s">
        <v>264</v>
      </c>
      <c r="C127" t="s">
        <v>5</v>
      </c>
    </row>
    <row r="128" spans="1:3" x14ac:dyDescent="0.5">
      <c r="A128" t="s">
        <v>265</v>
      </c>
      <c r="B128" t="s">
        <v>266</v>
      </c>
      <c r="C128" t="s">
        <v>15</v>
      </c>
    </row>
    <row r="129" spans="1:3" x14ac:dyDescent="0.5">
      <c r="A129" t="s">
        <v>267</v>
      </c>
      <c r="B129" t="s">
        <v>268</v>
      </c>
      <c r="C129" t="s">
        <v>25</v>
      </c>
    </row>
    <row r="130" spans="1:3" x14ac:dyDescent="0.5">
      <c r="A130" t="s">
        <v>269</v>
      </c>
      <c r="B130" t="s">
        <v>270</v>
      </c>
      <c r="C130" t="s">
        <v>30</v>
      </c>
    </row>
    <row r="131" spans="1:3" x14ac:dyDescent="0.5">
      <c r="A131" t="s">
        <v>271</v>
      </c>
      <c r="B131" t="s">
        <v>272</v>
      </c>
      <c r="C131" t="s">
        <v>40</v>
      </c>
    </row>
    <row r="132" spans="1:3" x14ac:dyDescent="0.5">
      <c r="A132" t="s">
        <v>273</v>
      </c>
      <c r="B132" t="s">
        <v>274</v>
      </c>
      <c r="C132" t="s">
        <v>56</v>
      </c>
    </row>
    <row r="133" spans="1:3" x14ac:dyDescent="0.5">
      <c r="A133" t="s">
        <v>275</v>
      </c>
      <c r="B133" t="s">
        <v>276</v>
      </c>
      <c r="C133" t="s">
        <v>91</v>
      </c>
    </row>
    <row r="134" spans="1:3" x14ac:dyDescent="0.5">
      <c r="A134" t="s">
        <v>277</v>
      </c>
      <c r="B134" t="s">
        <v>278</v>
      </c>
      <c r="C134" t="s">
        <v>15</v>
      </c>
    </row>
    <row r="135" spans="1:3" x14ac:dyDescent="0.5">
      <c r="A135" t="s">
        <v>279</v>
      </c>
      <c r="B135" t="s">
        <v>280</v>
      </c>
      <c r="C135" t="s">
        <v>40</v>
      </c>
    </row>
    <row r="136" spans="1:3" x14ac:dyDescent="0.5">
      <c r="A136" t="s">
        <v>281</v>
      </c>
      <c r="B136" t="s">
        <v>282</v>
      </c>
      <c r="C136" t="s">
        <v>5</v>
      </c>
    </row>
    <row r="137" spans="1:3" x14ac:dyDescent="0.5">
      <c r="A137" t="s">
        <v>283</v>
      </c>
      <c r="B137" t="s">
        <v>284</v>
      </c>
      <c r="C137" t="s">
        <v>5</v>
      </c>
    </row>
    <row r="138" spans="1:3" x14ac:dyDescent="0.5">
      <c r="A138" t="s">
        <v>285</v>
      </c>
      <c r="B138" t="s">
        <v>286</v>
      </c>
      <c r="C138" t="s">
        <v>10</v>
      </c>
    </row>
    <row r="139" spans="1:3" x14ac:dyDescent="0.5">
      <c r="A139" t="s">
        <v>287</v>
      </c>
      <c r="B139" t="s">
        <v>288</v>
      </c>
      <c r="C139" t="s">
        <v>10</v>
      </c>
    </row>
    <row r="140" spans="1:3" x14ac:dyDescent="0.5">
      <c r="A140" t="s">
        <v>289</v>
      </c>
      <c r="B140" t="s">
        <v>290</v>
      </c>
      <c r="C140" t="s">
        <v>33</v>
      </c>
    </row>
    <row r="141" spans="1:3" x14ac:dyDescent="0.5">
      <c r="A141" t="s">
        <v>291</v>
      </c>
      <c r="B141" t="s">
        <v>292</v>
      </c>
      <c r="C141" t="s">
        <v>10</v>
      </c>
    </row>
    <row r="142" spans="1:3" x14ac:dyDescent="0.5">
      <c r="A142" t="s">
        <v>293</v>
      </c>
      <c r="B142" t="s">
        <v>294</v>
      </c>
      <c r="C142" t="s">
        <v>5</v>
      </c>
    </row>
    <row r="143" spans="1:3" x14ac:dyDescent="0.5">
      <c r="A143" t="s">
        <v>295</v>
      </c>
      <c r="B143" t="s">
        <v>296</v>
      </c>
      <c r="C143" t="s">
        <v>33</v>
      </c>
    </row>
    <row r="144" spans="1:3" x14ac:dyDescent="0.5">
      <c r="A144" t="s">
        <v>297</v>
      </c>
      <c r="B144" t="s">
        <v>298</v>
      </c>
      <c r="C144" t="s">
        <v>5</v>
      </c>
    </row>
    <row r="145" spans="1:3" x14ac:dyDescent="0.5">
      <c r="A145" t="s">
        <v>299</v>
      </c>
      <c r="B145" t="s">
        <v>300</v>
      </c>
      <c r="C145" t="s">
        <v>15</v>
      </c>
    </row>
    <row r="146" spans="1:3" x14ac:dyDescent="0.5">
      <c r="A146" t="s">
        <v>301</v>
      </c>
      <c r="B146" t="s">
        <v>302</v>
      </c>
      <c r="C146" t="s">
        <v>5</v>
      </c>
    </row>
    <row r="147" spans="1:3" x14ac:dyDescent="0.5">
      <c r="A147" t="s">
        <v>303</v>
      </c>
      <c r="B147" t="s">
        <v>304</v>
      </c>
      <c r="C147" t="s">
        <v>91</v>
      </c>
    </row>
    <row r="148" spans="1:3" x14ac:dyDescent="0.5">
      <c r="A148" t="s">
        <v>305</v>
      </c>
      <c r="B148" t="s">
        <v>306</v>
      </c>
      <c r="C148" t="s">
        <v>10</v>
      </c>
    </row>
    <row r="149" spans="1:3" x14ac:dyDescent="0.5">
      <c r="A149" t="s">
        <v>307</v>
      </c>
      <c r="B149" t="s">
        <v>308</v>
      </c>
      <c r="C149" t="s">
        <v>91</v>
      </c>
    </row>
    <row r="150" spans="1:3" x14ac:dyDescent="0.5">
      <c r="A150" t="s">
        <v>309</v>
      </c>
      <c r="B150" t="s">
        <v>310</v>
      </c>
      <c r="C150" t="s">
        <v>40</v>
      </c>
    </row>
    <row r="151" spans="1:3" x14ac:dyDescent="0.5">
      <c r="A151" t="s">
        <v>311</v>
      </c>
      <c r="B151" t="s">
        <v>312</v>
      </c>
      <c r="C151" t="s">
        <v>25</v>
      </c>
    </row>
    <row r="152" spans="1:3" x14ac:dyDescent="0.5">
      <c r="A152" t="s">
        <v>313</v>
      </c>
      <c r="B152" t="s">
        <v>314</v>
      </c>
      <c r="C152" t="s">
        <v>56</v>
      </c>
    </row>
    <row r="153" spans="1:3" x14ac:dyDescent="0.5">
      <c r="A153" t="s">
        <v>315</v>
      </c>
      <c r="B153" t="s">
        <v>316</v>
      </c>
      <c r="C153" t="s">
        <v>56</v>
      </c>
    </row>
    <row r="154" spans="1:3" x14ac:dyDescent="0.5">
      <c r="A154" t="s">
        <v>317</v>
      </c>
      <c r="B154" t="s">
        <v>318</v>
      </c>
      <c r="C154" t="s">
        <v>22</v>
      </c>
    </row>
    <row r="155" spans="1:3" x14ac:dyDescent="0.5">
      <c r="A155" t="s">
        <v>319</v>
      </c>
      <c r="B155" t="s">
        <v>320</v>
      </c>
      <c r="C155" t="s">
        <v>33</v>
      </c>
    </row>
    <row r="156" spans="1:3" x14ac:dyDescent="0.5">
      <c r="A156" t="s">
        <v>321</v>
      </c>
      <c r="B156" t="s">
        <v>322</v>
      </c>
      <c r="C156" t="s">
        <v>5</v>
      </c>
    </row>
    <row r="157" spans="1:3" x14ac:dyDescent="0.5">
      <c r="A157" t="s">
        <v>323</v>
      </c>
      <c r="B157" t="s">
        <v>324</v>
      </c>
      <c r="C157" t="s">
        <v>30</v>
      </c>
    </row>
    <row r="158" spans="1:3" x14ac:dyDescent="0.5">
      <c r="A158" t="s">
        <v>325</v>
      </c>
      <c r="B158" t="s">
        <v>326</v>
      </c>
      <c r="C158" t="s">
        <v>33</v>
      </c>
    </row>
    <row r="159" spans="1:3" x14ac:dyDescent="0.5">
      <c r="A159" t="s">
        <v>327</v>
      </c>
      <c r="B159" t="s">
        <v>328</v>
      </c>
      <c r="C159" t="s">
        <v>22</v>
      </c>
    </row>
    <row r="160" spans="1:3" x14ac:dyDescent="0.5">
      <c r="A160" t="s">
        <v>329</v>
      </c>
      <c r="B160" t="s">
        <v>330</v>
      </c>
      <c r="C160" t="s">
        <v>22</v>
      </c>
    </row>
    <row r="161" spans="1:3" x14ac:dyDescent="0.5">
      <c r="A161" t="s">
        <v>331</v>
      </c>
      <c r="B161" t="s">
        <v>332</v>
      </c>
      <c r="C161" t="s">
        <v>30</v>
      </c>
    </row>
    <row r="162" spans="1:3" x14ac:dyDescent="0.5">
      <c r="A162" t="s">
        <v>333</v>
      </c>
      <c r="B162" t="s">
        <v>334</v>
      </c>
      <c r="C162" t="s">
        <v>30</v>
      </c>
    </row>
    <row r="163" spans="1:3" x14ac:dyDescent="0.5">
      <c r="A163" t="s">
        <v>335</v>
      </c>
      <c r="B163" t="s">
        <v>336</v>
      </c>
      <c r="C163" t="s">
        <v>5</v>
      </c>
    </row>
    <row r="164" spans="1:3" x14ac:dyDescent="0.5">
      <c r="A164" t="s">
        <v>337</v>
      </c>
      <c r="B164" t="s">
        <v>338</v>
      </c>
      <c r="C164" t="s">
        <v>33</v>
      </c>
    </row>
    <row r="165" spans="1:3" x14ac:dyDescent="0.5">
      <c r="A165" t="s">
        <v>339</v>
      </c>
      <c r="B165" t="s">
        <v>340</v>
      </c>
      <c r="C165" t="s">
        <v>30</v>
      </c>
    </row>
    <row r="166" spans="1:3" x14ac:dyDescent="0.5">
      <c r="A166" t="s">
        <v>341</v>
      </c>
      <c r="B166" t="s">
        <v>342</v>
      </c>
      <c r="C166" t="s">
        <v>22</v>
      </c>
    </row>
    <row r="167" spans="1:3" x14ac:dyDescent="0.5">
      <c r="A167" t="s">
        <v>343</v>
      </c>
      <c r="B167" t="s">
        <v>344</v>
      </c>
      <c r="C167" t="s">
        <v>10</v>
      </c>
    </row>
    <row r="168" spans="1:3" x14ac:dyDescent="0.5">
      <c r="A168" t="s">
        <v>345</v>
      </c>
      <c r="B168" t="s">
        <v>346</v>
      </c>
      <c r="C168" t="s">
        <v>51</v>
      </c>
    </row>
    <row r="169" spans="1:3" x14ac:dyDescent="0.5">
      <c r="A169" t="s">
        <v>347</v>
      </c>
      <c r="B169" t="s">
        <v>348</v>
      </c>
      <c r="C169" t="s">
        <v>10</v>
      </c>
    </row>
    <row r="170" spans="1:3" x14ac:dyDescent="0.5">
      <c r="A170" t="s">
        <v>349</v>
      </c>
      <c r="B170" t="s">
        <v>350</v>
      </c>
      <c r="C170" t="s">
        <v>5</v>
      </c>
    </row>
    <row r="171" spans="1:3" x14ac:dyDescent="0.5">
      <c r="A171" t="s">
        <v>351</v>
      </c>
      <c r="B171" t="s">
        <v>352</v>
      </c>
      <c r="C171" t="s">
        <v>15</v>
      </c>
    </row>
    <row r="172" spans="1:3" x14ac:dyDescent="0.5">
      <c r="A172" t="s">
        <v>353</v>
      </c>
      <c r="B172" t="s">
        <v>354</v>
      </c>
      <c r="C172" t="s">
        <v>22</v>
      </c>
    </row>
    <row r="173" spans="1:3" x14ac:dyDescent="0.5">
      <c r="A173" t="s">
        <v>355</v>
      </c>
      <c r="B173" t="s">
        <v>356</v>
      </c>
      <c r="C173" t="s">
        <v>91</v>
      </c>
    </row>
    <row r="174" spans="1:3" x14ac:dyDescent="0.5">
      <c r="A174" t="s">
        <v>357</v>
      </c>
      <c r="B174" t="s">
        <v>358</v>
      </c>
      <c r="C174" t="s">
        <v>15</v>
      </c>
    </row>
    <row r="175" spans="1:3" x14ac:dyDescent="0.5">
      <c r="A175" t="s">
        <v>359</v>
      </c>
      <c r="B175" t="s">
        <v>360</v>
      </c>
      <c r="C175" t="s">
        <v>91</v>
      </c>
    </row>
    <row r="176" spans="1:3" x14ac:dyDescent="0.5">
      <c r="A176" t="s">
        <v>361</v>
      </c>
      <c r="B176" t="s">
        <v>362</v>
      </c>
      <c r="C176" t="s">
        <v>5</v>
      </c>
    </row>
    <row r="177" spans="1:3" x14ac:dyDescent="0.5">
      <c r="A177" t="s">
        <v>363</v>
      </c>
      <c r="B177" t="s">
        <v>364</v>
      </c>
      <c r="C177" t="s">
        <v>40</v>
      </c>
    </row>
    <row r="178" spans="1:3" x14ac:dyDescent="0.5">
      <c r="A178" t="s">
        <v>365</v>
      </c>
      <c r="B178" t="s">
        <v>366</v>
      </c>
      <c r="C178" t="s">
        <v>40</v>
      </c>
    </row>
    <row r="179" spans="1:3" x14ac:dyDescent="0.5">
      <c r="A179" t="s">
        <v>367</v>
      </c>
      <c r="B179" t="s">
        <v>368</v>
      </c>
      <c r="C179" t="s">
        <v>25</v>
      </c>
    </row>
    <row r="180" spans="1:3" x14ac:dyDescent="0.5">
      <c r="A180" t="s">
        <v>369</v>
      </c>
      <c r="B180" t="s">
        <v>370</v>
      </c>
      <c r="C180" t="s">
        <v>40</v>
      </c>
    </row>
    <row r="181" spans="1:3" x14ac:dyDescent="0.5">
      <c r="A181" t="s">
        <v>371</v>
      </c>
      <c r="B181" t="s">
        <v>372</v>
      </c>
      <c r="C181" t="s">
        <v>56</v>
      </c>
    </row>
    <row r="182" spans="1:3" x14ac:dyDescent="0.5">
      <c r="A182" t="s">
        <v>373</v>
      </c>
      <c r="B182" t="s">
        <v>374</v>
      </c>
      <c r="C182" t="s">
        <v>25</v>
      </c>
    </row>
    <row r="183" spans="1:3" x14ac:dyDescent="0.5">
      <c r="A183" t="s">
        <v>375</v>
      </c>
      <c r="B183" t="s">
        <v>376</v>
      </c>
      <c r="C183" t="s">
        <v>22</v>
      </c>
    </row>
    <row r="184" spans="1:3" x14ac:dyDescent="0.5">
      <c r="A184" t="s">
        <v>377</v>
      </c>
      <c r="B184" t="s">
        <v>378</v>
      </c>
      <c r="C184" t="s">
        <v>22</v>
      </c>
    </row>
    <row r="185" spans="1:3" x14ac:dyDescent="0.5">
      <c r="A185" t="s">
        <v>379</v>
      </c>
      <c r="B185" t="s">
        <v>380</v>
      </c>
      <c r="C185" t="s">
        <v>22</v>
      </c>
    </row>
    <row r="186" spans="1:3" x14ac:dyDescent="0.5">
      <c r="A186" t="s">
        <v>381</v>
      </c>
      <c r="B186" t="s">
        <v>382</v>
      </c>
      <c r="C186" t="s">
        <v>33</v>
      </c>
    </row>
    <row r="187" spans="1:3" x14ac:dyDescent="0.5">
      <c r="A187" t="s">
        <v>383</v>
      </c>
      <c r="B187" t="s">
        <v>384</v>
      </c>
      <c r="C187" t="s">
        <v>5</v>
      </c>
    </row>
    <row r="188" spans="1:3" x14ac:dyDescent="0.5">
      <c r="A188" t="s">
        <v>385</v>
      </c>
      <c r="B188" t="s">
        <v>386</v>
      </c>
      <c r="C188" t="s">
        <v>40</v>
      </c>
    </row>
    <row r="189" spans="1:3" x14ac:dyDescent="0.5">
      <c r="A189" t="s">
        <v>387</v>
      </c>
      <c r="B189" t="s">
        <v>388</v>
      </c>
      <c r="C189" t="s">
        <v>91</v>
      </c>
    </row>
    <row r="190" spans="1:3" x14ac:dyDescent="0.5">
      <c r="A190" t="s">
        <v>389</v>
      </c>
      <c r="B190" t="s">
        <v>390</v>
      </c>
      <c r="C190" t="s">
        <v>15</v>
      </c>
    </row>
    <row r="191" spans="1:3" x14ac:dyDescent="0.5">
      <c r="A191" t="s">
        <v>391</v>
      </c>
      <c r="B191" t="s">
        <v>392</v>
      </c>
      <c r="C191" t="s">
        <v>25</v>
      </c>
    </row>
    <row r="192" spans="1:3" x14ac:dyDescent="0.5">
      <c r="A192" t="s">
        <v>393</v>
      </c>
      <c r="B192" t="s">
        <v>394</v>
      </c>
      <c r="C192" t="s">
        <v>15</v>
      </c>
    </row>
    <row r="193" spans="1:3" x14ac:dyDescent="0.5">
      <c r="A193" t="s">
        <v>395</v>
      </c>
      <c r="B193" t="s">
        <v>396</v>
      </c>
      <c r="C193" t="s">
        <v>5</v>
      </c>
    </row>
    <row r="194" spans="1:3" x14ac:dyDescent="0.5">
      <c r="A194" t="s">
        <v>397</v>
      </c>
      <c r="B194" t="s">
        <v>398</v>
      </c>
      <c r="C194" t="s">
        <v>40</v>
      </c>
    </row>
    <row r="195" spans="1:3" x14ac:dyDescent="0.5">
      <c r="A195" t="s">
        <v>399</v>
      </c>
      <c r="B195" t="s">
        <v>400</v>
      </c>
      <c r="C195" t="s">
        <v>5</v>
      </c>
    </row>
    <row r="196" spans="1:3" x14ac:dyDescent="0.5">
      <c r="A196" t="s">
        <v>401</v>
      </c>
      <c r="B196" t="s">
        <v>402</v>
      </c>
      <c r="C196" t="s">
        <v>25</v>
      </c>
    </row>
    <row r="197" spans="1:3" x14ac:dyDescent="0.5">
      <c r="A197" t="s">
        <v>403</v>
      </c>
      <c r="B197" t="s">
        <v>404</v>
      </c>
      <c r="C197" t="s">
        <v>25</v>
      </c>
    </row>
    <row r="198" spans="1:3" x14ac:dyDescent="0.5">
      <c r="A198" t="s">
        <v>405</v>
      </c>
      <c r="B198" t="s">
        <v>406</v>
      </c>
      <c r="C198" t="s">
        <v>15</v>
      </c>
    </row>
    <row r="199" spans="1:3" x14ac:dyDescent="0.5">
      <c r="A199" t="s">
        <v>407</v>
      </c>
      <c r="B199" t="s">
        <v>408</v>
      </c>
      <c r="C199" t="s">
        <v>22</v>
      </c>
    </row>
    <row r="200" spans="1:3" x14ac:dyDescent="0.5">
      <c r="A200" t="s">
        <v>409</v>
      </c>
      <c r="B200" t="s">
        <v>410</v>
      </c>
      <c r="C200" t="s">
        <v>25</v>
      </c>
    </row>
    <row r="201" spans="1:3" x14ac:dyDescent="0.5">
      <c r="A201" t="s">
        <v>411</v>
      </c>
      <c r="B201" t="s">
        <v>412</v>
      </c>
      <c r="C201" t="s">
        <v>30</v>
      </c>
    </row>
    <row r="202" spans="1:3" x14ac:dyDescent="0.5">
      <c r="A202" t="s">
        <v>413</v>
      </c>
      <c r="B202" t="s">
        <v>414</v>
      </c>
      <c r="C202" t="s">
        <v>33</v>
      </c>
    </row>
    <row r="203" spans="1:3" x14ac:dyDescent="0.5">
      <c r="A203" t="s">
        <v>415</v>
      </c>
      <c r="B203" t="s">
        <v>416</v>
      </c>
      <c r="C203" t="s">
        <v>15</v>
      </c>
    </row>
    <row r="204" spans="1:3" x14ac:dyDescent="0.5">
      <c r="A204" t="s">
        <v>417</v>
      </c>
      <c r="B204" t="s">
        <v>418</v>
      </c>
      <c r="C204" t="s">
        <v>5</v>
      </c>
    </row>
    <row r="205" spans="1:3" x14ac:dyDescent="0.5">
      <c r="A205" t="s">
        <v>419</v>
      </c>
      <c r="B205" t="s">
        <v>420</v>
      </c>
      <c r="C205" t="s">
        <v>51</v>
      </c>
    </row>
    <row r="206" spans="1:3" x14ac:dyDescent="0.5">
      <c r="A206" t="s">
        <v>421</v>
      </c>
      <c r="B206" t="s">
        <v>422</v>
      </c>
      <c r="C206" t="s">
        <v>51</v>
      </c>
    </row>
    <row r="207" spans="1:3" x14ac:dyDescent="0.5">
      <c r="A207" t="s">
        <v>423</v>
      </c>
      <c r="B207" t="s">
        <v>424</v>
      </c>
      <c r="C207" t="s">
        <v>25</v>
      </c>
    </row>
    <row r="208" spans="1:3" x14ac:dyDescent="0.5">
      <c r="A208" t="s">
        <v>425</v>
      </c>
      <c r="B208" t="s">
        <v>426</v>
      </c>
      <c r="C208" t="s">
        <v>30</v>
      </c>
    </row>
    <row r="209" spans="1:3" x14ac:dyDescent="0.5">
      <c r="A209" t="s">
        <v>427</v>
      </c>
      <c r="B209" t="s">
        <v>428</v>
      </c>
      <c r="C209" t="s">
        <v>33</v>
      </c>
    </row>
    <row r="210" spans="1:3" x14ac:dyDescent="0.5">
      <c r="A210" t="s">
        <v>429</v>
      </c>
      <c r="B210" t="s">
        <v>430</v>
      </c>
      <c r="C210" t="s">
        <v>15</v>
      </c>
    </row>
    <row r="211" spans="1:3" x14ac:dyDescent="0.5">
      <c r="A211" t="s">
        <v>431</v>
      </c>
      <c r="B211" t="s">
        <v>432</v>
      </c>
      <c r="C211" t="s">
        <v>5</v>
      </c>
    </row>
    <row r="212" spans="1:3" x14ac:dyDescent="0.5">
      <c r="A212" t="s">
        <v>433</v>
      </c>
      <c r="B212" t="s">
        <v>434</v>
      </c>
      <c r="C212" t="s">
        <v>10</v>
      </c>
    </row>
    <row r="213" spans="1:3" x14ac:dyDescent="0.5">
      <c r="A213" t="s">
        <v>435</v>
      </c>
      <c r="B213" t="s">
        <v>436</v>
      </c>
      <c r="C213" t="s">
        <v>5</v>
      </c>
    </row>
    <row r="214" spans="1:3" x14ac:dyDescent="0.5">
      <c r="A214" t="s">
        <v>437</v>
      </c>
      <c r="B214" t="s">
        <v>438</v>
      </c>
      <c r="C214" t="s">
        <v>15</v>
      </c>
    </row>
    <row r="215" spans="1:3" x14ac:dyDescent="0.5">
      <c r="A215" t="s">
        <v>439</v>
      </c>
      <c r="B215" t="s">
        <v>440</v>
      </c>
      <c r="C215" t="s">
        <v>5</v>
      </c>
    </row>
    <row r="216" spans="1:3" x14ac:dyDescent="0.5">
      <c r="A216" t="s">
        <v>441</v>
      </c>
      <c r="B216" t="s">
        <v>442</v>
      </c>
      <c r="C216" t="s">
        <v>5</v>
      </c>
    </row>
    <row r="217" spans="1:3" x14ac:dyDescent="0.5">
      <c r="A217" t="s">
        <v>443</v>
      </c>
      <c r="B217" t="s">
        <v>444</v>
      </c>
      <c r="C217" t="s">
        <v>56</v>
      </c>
    </row>
    <row r="218" spans="1:3" x14ac:dyDescent="0.5">
      <c r="A218" t="s">
        <v>445</v>
      </c>
      <c r="B218" t="s">
        <v>446</v>
      </c>
      <c r="C218" t="s">
        <v>33</v>
      </c>
    </row>
    <row r="219" spans="1:3" x14ac:dyDescent="0.5">
      <c r="A219" t="s">
        <v>447</v>
      </c>
      <c r="B219" t="s">
        <v>448</v>
      </c>
      <c r="C219" t="s">
        <v>33</v>
      </c>
    </row>
    <row r="220" spans="1:3" x14ac:dyDescent="0.5">
      <c r="A220" t="s">
        <v>449</v>
      </c>
      <c r="B220" t="s">
        <v>450</v>
      </c>
      <c r="C220" t="s">
        <v>10</v>
      </c>
    </row>
    <row r="221" spans="1:3" x14ac:dyDescent="0.5">
      <c r="A221" t="s">
        <v>451</v>
      </c>
      <c r="B221" t="s">
        <v>452</v>
      </c>
      <c r="C221" t="s">
        <v>25</v>
      </c>
    </row>
    <row r="222" spans="1:3" x14ac:dyDescent="0.5">
      <c r="A222" t="s">
        <v>453</v>
      </c>
      <c r="B222" t="s">
        <v>454</v>
      </c>
      <c r="C222" t="s">
        <v>25</v>
      </c>
    </row>
    <row r="223" spans="1:3" x14ac:dyDescent="0.5">
      <c r="A223" t="s">
        <v>455</v>
      </c>
      <c r="B223" t="s">
        <v>456</v>
      </c>
      <c r="C223" t="s">
        <v>15</v>
      </c>
    </row>
    <row r="224" spans="1:3" x14ac:dyDescent="0.5">
      <c r="A224" t="s">
        <v>457</v>
      </c>
      <c r="B224" t="s">
        <v>458</v>
      </c>
      <c r="C224" t="s">
        <v>25</v>
      </c>
    </row>
    <row r="225" spans="1:3" x14ac:dyDescent="0.5">
      <c r="A225" t="s">
        <v>459</v>
      </c>
      <c r="B225" t="s">
        <v>460</v>
      </c>
      <c r="C225" t="s">
        <v>91</v>
      </c>
    </row>
    <row r="226" spans="1:3" x14ac:dyDescent="0.5">
      <c r="A226" t="s">
        <v>461</v>
      </c>
      <c r="B226" t="s">
        <v>462</v>
      </c>
      <c r="C226" t="s">
        <v>25</v>
      </c>
    </row>
    <row r="227" spans="1:3" x14ac:dyDescent="0.5">
      <c r="A227" t="s">
        <v>463</v>
      </c>
      <c r="B227" t="s">
        <v>464</v>
      </c>
      <c r="C227" t="s">
        <v>33</v>
      </c>
    </row>
    <row r="228" spans="1:3" x14ac:dyDescent="0.5">
      <c r="A228" t="s">
        <v>465</v>
      </c>
      <c r="B228" t="s">
        <v>466</v>
      </c>
      <c r="C228" t="s">
        <v>10</v>
      </c>
    </row>
    <row r="229" spans="1:3" x14ac:dyDescent="0.5">
      <c r="A229" t="s">
        <v>467</v>
      </c>
      <c r="B229" t="s">
        <v>468</v>
      </c>
      <c r="C229" t="s">
        <v>40</v>
      </c>
    </row>
    <row r="230" spans="1:3" x14ac:dyDescent="0.5">
      <c r="A230" t="s">
        <v>469</v>
      </c>
      <c r="B230" t="s">
        <v>470</v>
      </c>
      <c r="C230" t="s">
        <v>10</v>
      </c>
    </row>
    <row r="231" spans="1:3" x14ac:dyDescent="0.5">
      <c r="A231" t="s">
        <v>471</v>
      </c>
      <c r="B231" t="s">
        <v>472</v>
      </c>
      <c r="C231" t="s">
        <v>56</v>
      </c>
    </row>
    <row r="232" spans="1:3" x14ac:dyDescent="0.5">
      <c r="A232" t="s">
        <v>473</v>
      </c>
      <c r="B232" t="s">
        <v>474</v>
      </c>
      <c r="C232" t="s">
        <v>91</v>
      </c>
    </row>
    <row r="233" spans="1:3" x14ac:dyDescent="0.5">
      <c r="A233" t="s">
        <v>475</v>
      </c>
      <c r="B233" t="s">
        <v>476</v>
      </c>
      <c r="C233" t="s">
        <v>15</v>
      </c>
    </row>
    <row r="234" spans="1:3" x14ac:dyDescent="0.5">
      <c r="A234" t="s">
        <v>477</v>
      </c>
      <c r="B234" t="s">
        <v>478</v>
      </c>
      <c r="C234" t="s">
        <v>33</v>
      </c>
    </row>
    <row r="235" spans="1:3" x14ac:dyDescent="0.5">
      <c r="A235" t="s">
        <v>479</v>
      </c>
      <c r="B235" t="s">
        <v>480</v>
      </c>
      <c r="C235" t="s">
        <v>10</v>
      </c>
    </row>
    <row r="236" spans="1:3" x14ac:dyDescent="0.5">
      <c r="A236" t="s">
        <v>481</v>
      </c>
      <c r="B236" t="s">
        <v>482</v>
      </c>
      <c r="C236" t="s">
        <v>33</v>
      </c>
    </row>
    <row r="237" spans="1:3" x14ac:dyDescent="0.5">
      <c r="A237" t="s">
        <v>483</v>
      </c>
      <c r="B237" t="s">
        <v>484</v>
      </c>
      <c r="C237" t="s">
        <v>5</v>
      </c>
    </row>
    <row r="238" spans="1:3" x14ac:dyDescent="0.5">
      <c r="A238" t="s">
        <v>485</v>
      </c>
      <c r="B238" t="s">
        <v>486</v>
      </c>
      <c r="C238" t="s">
        <v>56</v>
      </c>
    </row>
    <row r="239" spans="1:3" x14ac:dyDescent="0.5">
      <c r="A239" t="s">
        <v>487</v>
      </c>
      <c r="B239" t="s">
        <v>488</v>
      </c>
      <c r="C239" t="s">
        <v>40</v>
      </c>
    </row>
    <row r="240" spans="1:3" x14ac:dyDescent="0.5">
      <c r="A240" t="s">
        <v>489</v>
      </c>
      <c r="B240" t="s">
        <v>490</v>
      </c>
      <c r="C240" t="s">
        <v>5</v>
      </c>
    </row>
    <row r="241" spans="1:3" x14ac:dyDescent="0.5">
      <c r="A241" t="s">
        <v>491</v>
      </c>
      <c r="B241" t="s">
        <v>492</v>
      </c>
      <c r="C241" t="s">
        <v>15</v>
      </c>
    </row>
    <row r="242" spans="1:3" x14ac:dyDescent="0.5">
      <c r="A242" t="s">
        <v>493</v>
      </c>
      <c r="B242" t="s">
        <v>494</v>
      </c>
      <c r="C242" t="s">
        <v>5</v>
      </c>
    </row>
    <row r="243" spans="1:3" x14ac:dyDescent="0.5">
      <c r="A243" t="s">
        <v>495</v>
      </c>
      <c r="B243" t="s">
        <v>496</v>
      </c>
      <c r="C243" t="s">
        <v>10</v>
      </c>
    </row>
    <row r="244" spans="1:3" x14ac:dyDescent="0.5">
      <c r="A244" t="s">
        <v>497</v>
      </c>
      <c r="B244" t="s">
        <v>498</v>
      </c>
      <c r="C244" t="s">
        <v>25</v>
      </c>
    </row>
    <row r="245" spans="1:3" x14ac:dyDescent="0.5">
      <c r="A245" t="s">
        <v>499</v>
      </c>
      <c r="B245" t="s">
        <v>500</v>
      </c>
      <c r="C245" t="s">
        <v>5</v>
      </c>
    </row>
    <row r="246" spans="1:3" x14ac:dyDescent="0.5">
      <c r="A246" t="s">
        <v>501</v>
      </c>
      <c r="B246" t="s">
        <v>501</v>
      </c>
      <c r="C246" t="s">
        <v>15</v>
      </c>
    </row>
    <row r="247" spans="1:3" x14ac:dyDescent="0.5">
      <c r="A247" t="s">
        <v>502</v>
      </c>
      <c r="B247" t="s">
        <v>503</v>
      </c>
      <c r="C247" t="s">
        <v>5</v>
      </c>
    </row>
    <row r="248" spans="1:3" x14ac:dyDescent="0.5">
      <c r="A248" t="s">
        <v>504</v>
      </c>
      <c r="B248" t="s">
        <v>505</v>
      </c>
      <c r="C248" t="s">
        <v>10</v>
      </c>
    </row>
    <row r="249" spans="1:3" x14ac:dyDescent="0.5">
      <c r="A249" t="s">
        <v>506</v>
      </c>
      <c r="B249" t="s">
        <v>507</v>
      </c>
      <c r="C249" t="s">
        <v>5</v>
      </c>
    </row>
    <row r="250" spans="1:3" x14ac:dyDescent="0.5">
      <c r="A250" t="s">
        <v>508</v>
      </c>
      <c r="B250" t="s">
        <v>509</v>
      </c>
      <c r="C250" t="s">
        <v>10</v>
      </c>
    </row>
    <row r="251" spans="1:3" x14ac:dyDescent="0.5">
      <c r="A251" t="s">
        <v>510</v>
      </c>
      <c r="B251" t="s">
        <v>511</v>
      </c>
      <c r="C251" t="s">
        <v>5</v>
      </c>
    </row>
    <row r="252" spans="1:3" x14ac:dyDescent="0.5">
      <c r="A252" t="s">
        <v>512</v>
      </c>
      <c r="B252" t="s">
        <v>513</v>
      </c>
      <c r="C252" t="s">
        <v>10</v>
      </c>
    </row>
    <row r="253" spans="1:3" x14ac:dyDescent="0.5">
      <c r="A253" t="s">
        <v>514</v>
      </c>
      <c r="B253" t="s">
        <v>515</v>
      </c>
      <c r="C253" t="s">
        <v>15</v>
      </c>
    </row>
    <row r="254" spans="1:3" x14ac:dyDescent="0.5">
      <c r="A254" t="s">
        <v>516</v>
      </c>
      <c r="B254" t="s">
        <v>517</v>
      </c>
      <c r="C254" t="s">
        <v>25</v>
      </c>
    </row>
    <row r="255" spans="1:3" x14ac:dyDescent="0.5">
      <c r="A255" t="s">
        <v>518</v>
      </c>
      <c r="B255" t="s">
        <v>519</v>
      </c>
      <c r="C255" t="s">
        <v>30</v>
      </c>
    </row>
    <row r="256" spans="1:3" x14ac:dyDescent="0.5">
      <c r="A256" t="s">
        <v>520</v>
      </c>
      <c r="B256" t="s">
        <v>521</v>
      </c>
      <c r="C256" t="s">
        <v>30</v>
      </c>
    </row>
    <row r="257" spans="1:3" x14ac:dyDescent="0.5">
      <c r="A257" t="s">
        <v>522</v>
      </c>
      <c r="B257" t="s">
        <v>523</v>
      </c>
      <c r="C257" t="s">
        <v>51</v>
      </c>
    </row>
    <row r="258" spans="1:3" x14ac:dyDescent="0.5">
      <c r="A258" t="s">
        <v>524</v>
      </c>
      <c r="B258" t="s">
        <v>525</v>
      </c>
      <c r="C258" t="s">
        <v>15</v>
      </c>
    </row>
    <row r="259" spans="1:3" x14ac:dyDescent="0.5">
      <c r="A259" t="s">
        <v>526</v>
      </c>
      <c r="B259" t="s">
        <v>527</v>
      </c>
      <c r="C259" t="s">
        <v>10</v>
      </c>
    </row>
    <row r="260" spans="1:3" x14ac:dyDescent="0.5">
      <c r="A260" t="s">
        <v>528</v>
      </c>
      <c r="B260" t="s">
        <v>529</v>
      </c>
      <c r="C260" t="s">
        <v>25</v>
      </c>
    </row>
    <row r="261" spans="1:3" x14ac:dyDescent="0.5">
      <c r="A261" t="s">
        <v>530</v>
      </c>
      <c r="B261" t="s">
        <v>531</v>
      </c>
      <c r="C261" t="s">
        <v>40</v>
      </c>
    </row>
    <row r="262" spans="1:3" x14ac:dyDescent="0.5">
      <c r="A262" t="s">
        <v>532</v>
      </c>
      <c r="B262" t="s">
        <v>533</v>
      </c>
      <c r="C262" t="s">
        <v>10</v>
      </c>
    </row>
    <row r="263" spans="1:3" x14ac:dyDescent="0.5">
      <c r="A263" t="s">
        <v>534</v>
      </c>
      <c r="B263" t="s">
        <v>535</v>
      </c>
      <c r="C263" t="s">
        <v>40</v>
      </c>
    </row>
    <row r="264" spans="1:3" x14ac:dyDescent="0.5">
      <c r="A264" t="s">
        <v>536</v>
      </c>
      <c r="B264" t="s">
        <v>537</v>
      </c>
      <c r="C264" t="s">
        <v>5</v>
      </c>
    </row>
    <row r="265" spans="1:3" x14ac:dyDescent="0.5">
      <c r="A265" t="s">
        <v>538</v>
      </c>
      <c r="B265" t="s">
        <v>539</v>
      </c>
      <c r="C265" t="s">
        <v>15</v>
      </c>
    </row>
    <row r="266" spans="1:3" x14ac:dyDescent="0.5">
      <c r="A266" t="s">
        <v>540</v>
      </c>
      <c r="B266" t="s">
        <v>541</v>
      </c>
      <c r="C266" t="s">
        <v>25</v>
      </c>
    </row>
    <row r="267" spans="1:3" x14ac:dyDescent="0.5">
      <c r="A267" t="s">
        <v>542</v>
      </c>
      <c r="B267" t="s">
        <v>543</v>
      </c>
      <c r="C267" t="s">
        <v>5</v>
      </c>
    </row>
    <row r="268" spans="1:3" x14ac:dyDescent="0.5">
      <c r="A268" t="s">
        <v>544</v>
      </c>
      <c r="B268" t="s">
        <v>545</v>
      </c>
      <c r="C268" t="s">
        <v>10</v>
      </c>
    </row>
    <row r="269" spans="1:3" x14ac:dyDescent="0.5">
      <c r="A269" t="s">
        <v>546</v>
      </c>
      <c r="B269" t="s">
        <v>547</v>
      </c>
      <c r="C269" t="s">
        <v>5</v>
      </c>
    </row>
    <row r="270" spans="1:3" x14ac:dyDescent="0.5">
      <c r="A270" t="s">
        <v>548</v>
      </c>
      <c r="B270" t="s">
        <v>549</v>
      </c>
      <c r="C270" t="s">
        <v>25</v>
      </c>
    </row>
    <row r="271" spans="1:3" x14ac:dyDescent="0.5">
      <c r="A271" t="s">
        <v>550</v>
      </c>
      <c r="B271" t="s">
        <v>551</v>
      </c>
      <c r="C271" t="s">
        <v>15</v>
      </c>
    </row>
    <row r="272" spans="1:3" x14ac:dyDescent="0.5">
      <c r="A272" t="s">
        <v>552</v>
      </c>
      <c r="B272" t="s">
        <v>553</v>
      </c>
      <c r="C272" t="s">
        <v>56</v>
      </c>
    </row>
    <row r="273" spans="1:3" x14ac:dyDescent="0.5">
      <c r="A273" t="s">
        <v>554</v>
      </c>
      <c r="B273" t="s">
        <v>555</v>
      </c>
      <c r="C273" t="s">
        <v>56</v>
      </c>
    </row>
    <row r="274" spans="1:3" x14ac:dyDescent="0.5">
      <c r="A274" t="s">
        <v>556</v>
      </c>
      <c r="B274" t="s">
        <v>557</v>
      </c>
      <c r="C274" t="s">
        <v>56</v>
      </c>
    </row>
    <row r="275" spans="1:3" x14ac:dyDescent="0.5">
      <c r="A275" t="s">
        <v>558</v>
      </c>
      <c r="B275" t="s">
        <v>559</v>
      </c>
      <c r="C275" t="s">
        <v>25</v>
      </c>
    </row>
    <row r="276" spans="1:3" x14ac:dyDescent="0.5">
      <c r="A276" t="s">
        <v>560</v>
      </c>
      <c r="B276" t="s">
        <v>561</v>
      </c>
      <c r="C276" t="s">
        <v>15</v>
      </c>
    </row>
    <row r="277" spans="1:3" x14ac:dyDescent="0.5">
      <c r="A277" t="s">
        <v>562</v>
      </c>
      <c r="B277" t="s">
        <v>563</v>
      </c>
      <c r="C277" t="s">
        <v>56</v>
      </c>
    </row>
    <row r="278" spans="1:3" x14ac:dyDescent="0.5">
      <c r="A278" t="s">
        <v>564</v>
      </c>
      <c r="B278" t="s">
        <v>565</v>
      </c>
      <c r="C278" t="s">
        <v>40</v>
      </c>
    </row>
    <row r="279" spans="1:3" x14ac:dyDescent="0.5">
      <c r="A279" t="s">
        <v>566</v>
      </c>
      <c r="B279" t="s">
        <v>567</v>
      </c>
      <c r="C279" t="s">
        <v>91</v>
      </c>
    </row>
    <row r="280" spans="1:3" x14ac:dyDescent="0.5">
      <c r="A280" t="s">
        <v>568</v>
      </c>
      <c r="B280" t="s">
        <v>568</v>
      </c>
      <c r="C280" t="s">
        <v>25</v>
      </c>
    </row>
    <row r="281" spans="1:3" x14ac:dyDescent="0.5">
      <c r="A281" t="s">
        <v>569</v>
      </c>
      <c r="B281" t="s">
        <v>570</v>
      </c>
      <c r="C281" t="s">
        <v>15</v>
      </c>
    </row>
    <row r="282" spans="1:3" x14ac:dyDescent="0.5">
      <c r="A282" t="s">
        <v>571</v>
      </c>
      <c r="B282" t="s">
        <v>572</v>
      </c>
      <c r="C282" t="s">
        <v>56</v>
      </c>
    </row>
    <row r="283" spans="1:3" x14ac:dyDescent="0.5">
      <c r="A283" t="s">
        <v>573</v>
      </c>
      <c r="B283" t="s">
        <v>574</v>
      </c>
      <c r="C283" t="s">
        <v>56</v>
      </c>
    </row>
    <row r="284" spans="1:3" x14ac:dyDescent="0.5">
      <c r="A284" t="s">
        <v>575</v>
      </c>
      <c r="B284" t="s">
        <v>576</v>
      </c>
      <c r="C284" t="s">
        <v>5</v>
      </c>
    </row>
    <row r="285" spans="1:3" x14ac:dyDescent="0.5">
      <c r="A285" t="s">
        <v>577</v>
      </c>
      <c r="B285" t="s">
        <v>578</v>
      </c>
      <c r="C285" t="s">
        <v>10</v>
      </c>
    </row>
    <row r="286" spans="1:3" x14ac:dyDescent="0.5">
      <c r="A286" t="s">
        <v>579</v>
      </c>
      <c r="B286" t="s">
        <v>580</v>
      </c>
      <c r="C286" t="s">
        <v>15</v>
      </c>
    </row>
    <row r="287" spans="1:3" x14ac:dyDescent="0.5">
      <c r="A287" t="s">
        <v>581</v>
      </c>
      <c r="B287" t="s">
        <v>582</v>
      </c>
      <c r="C287" t="s">
        <v>56</v>
      </c>
    </row>
    <row r="288" spans="1:3" x14ac:dyDescent="0.5">
      <c r="A288" t="s">
        <v>583</v>
      </c>
      <c r="B288" t="s">
        <v>584</v>
      </c>
      <c r="C288" t="s">
        <v>33</v>
      </c>
    </row>
    <row r="289" spans="1:3" x14ac:dyDescent="0.5">
      <c r="A289" t="s">
        <v>585</v>
      </c>
      <c r="B289" t="s">
        <v>586</v>
      </c>
      <c r="C289" t="s">
        <v>5</v>
      </c>
    </row>
    <row r="290" spans="1:3" x14ac:dyDescent="0.5">
      <c r="A290" t="s">
        <v>587</v>
      </c>
      <c r="B290" t="s">
        <v>588</v>
      </c>
      <c r="C290" t="s">
        <v>33</v>
      </c>
    </row>
    <row r="291" spans="1:3" x14ac:dyDescent="0.5">
      <c r="A291" t="s">
        <v>589</v>
      </c>
      <c r="B291" t="s">
        <v>590</v>
      </c>
      <c r="C291" t="s">
        <v>10</v>
      </c>
    </row>
    <row r="292" spans="1:3" x14ac:dyDescent="0.5">
      <c r="A292" t="s">
        <v>591</v>
      </c>
      <c r="B292" t="s">
        <v>592</v>
      </c>
      <c r="C292" t="s">
        <v>30</v>
      </c>
    </row>
    <row r="293" spans="1:3" x14ac:dyDescent="0.5">
      <c r="A293" t="s">
        <v>593</v>
      </c>
      <c r="B293" t="s">
        <v>594</v>
      </c>
      <c r="C293" t="s">
        <v>51</v>
      </c>
    </row>
    <row r="294" spans="1:3" x14ac:dyDescent="0.5">
      <c r="A294" t="s">
        <v>595</v>
      </c>
      <c r="B294" t="s">
        <v>596</v>
      </c>
      <c r="C294" t="s">
        <v>33</v>
      </c>
    </row>
    <row r="295" spans="1:3" x14ac:dyDescent="0.5">
      <c r="A295" t="s">
        <v>597</v>
      </c>
      <c r="B295" t="s">
        <v>598</v>
      </c>
      <c r="C295" t="s">
        <v>5</v>
      </c>
    </row>
    <row r="296" spans="1:3" x14ac:dyDescent="0.5">
      <c r="A296" t="s">
        <v>599</v>
      </c>
      <c r="B296" t="s">
        <v>600</v>
      </c>
      <c r="C296" t="s">
        <v>25</v>
      </c>
    </row>
    <row r="297" spans="1:3" x14ac:dyDescent="0.5">
      <c r="A297" t="s">
        <v>601</v>
      </c>
      <c r="B297" t="s">
        <v>602</v>
      </c>
      <c r="C297" t="s">
        <v>33</v>
      </c>
    </row>
    <row r="298" spans="1:3" x14ac:dyDescent="0.5">
      <c r="A298" t="s">
        <v>603</v>
      </c>
      <c r="B298" t="s">
        <v>604</v>
      </c>
      <c r="C298" t="s">
        <v>33</v>
      </c>
    </row>
    <row r="299" spans="1:3" x14ac:dyDescent="0.5">
      <c r="A299" t="s">
        <v>605</v>
      </c>
      <c r="B299" t="s">
        <v>606</v>
      </c>
      <c r="C299" t="s">
        <v>30</v>
      </c>
    </row>
    <row r="300" spans="1:3" x14ac:dyDescent="0.5">
      <c r="A300" t="s">
        <v>607</v>
      </c>
      <c r="B300" t="s">
        <v>608</v>
      </c>
      <c r="C300" t="s">
        <v>25</v>
      </c>
    </row>
    <row r="301" spans="1:3" x14ac:dyDescent="0.5">
      <c r="A301" t="s">
        <v>609</v>
      </c>
      <c r="B301" t="s">
        <v>610</v>
      </c>
      <c r="C301" t="s">
        <v>91</v>
      </c>
    </row>
    <row r="302" spans="1:3" x14ac:dyDescent="0.5">
      <c r="A302" t="s">
        <v>611</v>
      </c>
      <c r="B302" t="s">
        <v>612</v>
      </c>
      <c r="C302" t="s">
        <v>25</v>
      </c>
    </row>
    <row r="303" spans="1:3" x14ac:dyDescent="0.5">
      <c r="A303" t="s">
        <v>613</v>
      </c>
      <c r="B303" t="s">
        <v>614</v>
      </c>
      <c r="C303" t="s">
        <v>33</v>
      </c>
    </row>
    <row r="304" spans="1:3" x14ac:dyDescent="0.5">
      <c r="A304" t="s">
        <v>615</v>
      </c>
      <c r="B304" t="s">
        <v>616</v>
      </c>
      <c r="C304" t="s">
        <v>25</v>
      </c>
    </row>
    <row r="305" spans="1:3" x14ac:dyDescent="0.5">
      <c r="A305" t="s">
        <v>617</v>
      </c>
      <c r="B305" t="s">
        <v>618</v>
      </c>
      <c r="C305" t="s">
        <v>30</v>
      </c>
    </row>
    <row r="306" spans="1:3" x14ac:dyDescent="0.5">
      <c r="A306" t="s">
        <v>619</v>
      </c>
      <c r="B306" t="s">
        <v>620</v>
      </c>
      <c r="C306" t="s">
        <v>5</v>
      </c>
    </row>
    <row r="307" spans="1:3" x14ac:dyDescent="0.5">
      <c r="A307" t="s">
        <v>621</v>
      </c>
      <c r="B307" t="s">
        <v>622</v>
      </c>
      <c r="C307" t="s">
        <v>25</v>
      </c>
    </row>
    <row r="308" spans="1:3" x14ac:dyDescent="0.5">
      <c r="A308" t="s">
        <v>623</v>
      </c>
      <c r="B308" t="s">
        <v>624</v>
      </c>
      <c r="C308" t="s">
        <v>51</v>
      </c>
    </row>
    <row r="309" spans="1:3" x14ac:dyDescent="0.5">
      <c r="A309" t="s">
        <v>625</v>
      </c>
      <c r="B309" t="s">
        <v>626</v>
      </c>
      <c r="C309" t="s">
        <v>56</v>
      </c>
    </row>
    <row r="310" spans="1:3" x14ac:dyDescent="0.5">
      <c r="A310" t="s">
        <v>627</v>
      </c>
      <c r="B310" t="s">
        <v>628</v>
      </c>
      <c r="C310" t="s">
        <v>33</v>
      </c>
    </row>
    <row r="311" spans="1:3" x14ac:dyDescent="0.5">
      <c r="A311" t="s">
        <v>629</v>
      </c>
      <c r="B311" t="s">
        <v>630</v>
      </c>
      <c r="C311" t="s">
        <v>10</v>
      </c>
    </row>
    <row r="312" spans="1:3" x14ac:dyDescent="0.5">
      <c r="A312" t="s">
        <v>631</v>
      </c>
      <c r="B312" t="s">
        <v>632</v>
      </c>
      <c r="C312" t="s">
        <v>10</v>
      </c>
    </row>
    <row r="313" spans="1:3" x14ac:dyDescent="0.5">
      <c r="A313" t="s">
        <v>633</v>
      </c>
      <c r="B313" t="s">
        <v>634</v>
      </c>
      <c r="C313" t="s">
        <v>10</v>
      </c>
    </row>
    <row r="314" spans="1:3" x14ac:dyDescent="0.5">
      <c r="A314" t="s">
        <v>635</v>
      </c>
      <c r="B314" t="s">
        <v>636</v>
      </c>
      <c r="C314" t="s">
        <v>51</v>
      </c>
    </row>
    <row r="315" spans="1:3" x14ac:dyDescent="0.5">
      <c r="A315" t="s">
        <v>637</v>
      </c>
      <c r="B315" t="s">
        <v>638</v>
      </c>
      <c r="C315" t="s">
        <v>25</v>
      </c>
    </row>
    <row r="316" spans="1:3" x14ac:dyDescent="0.5">
      <c r="A316" t="s">
        <v>639</v>
      </c>
      <c r="B316" t="s">
        <v>640</v>
      </c>
      <c r="C316" t="s">
        <v>10</v>
      </c>
    </row>
    <row r="317" spans="1:3" x14ac:dyDescent="0.5">
      <c r="A317" t="s">
        <v>641</v>
      </c>
      <c r="B317" t="s">
        <v>642</v>
      </c>
      <c r="C317" t="s">
        <v>33</v>
      </c>
    </row>
    <row r="318" spans="1:3" x14ac:dyDescent="0.5">
      <c r="A318" t="s">
        <v>643</v>
      </c>
      <c r="B318" t="s">
        <v>644</v>
      </c>
      <c r="C318" t="s">
        <v>15</v>
      </c>
    </row>
    <row r="319" spans="1:3" x14ac:dyDescent="0.5">
      <c r="A319" t="s">
        <v>645</v>
      </c>
      <c r="B319" t="s">
        <v>646</v>
      </c>
      <c r="C319" t="s">
        <v>15</v>
      </c>
    </row>
    <row r="320" spans="1:3" x14ac:dyDescent="0.5">
      <c r="A320" t="s">
        <v>647</v>
      </c>
      <c r="B320" t="s">
        <v>648</v>
      </c>
      <c r="C320" t="s">
        <v>15</v>
      </c>
    </row>
    <row r="321" spans="1:3" x14ac:dyDescent="0.5">
      <c r="A321" t="s">
        <v>649</v>
      </c>
      <c r="B321" t="s">
        <v>650</v>
      </c>
      <c r="C321" t="s">
        <v>40</v>
      </c>
    </row>
    <row r="322" spans="1:3" x14ac:dyDescent="0.5">
      <c r="A322" t="s">
        <v>651</v>
      </c>
      <c r="B322" t="s">
        <v>652</v>
      </c>
      <c r="C322" t="s">
        <v>10</v>
      </c>
    </row>
    <row r="323" spans="1:3" x14ac:dyDescent="0.5">
      <c r="A323" t="s">
        <v>653</v>
      </c>
      <c r="B323" t="s">
        <v>654</v>
      </c>
      <c r="C323" t="s">
        <v>33</v>
      </c>
    </row>
    <row r="324" spans="1:3" x14ac:dyDescent="0.5">
      <c r="A324" t="s">
        <v>655</v>
      </c>
      <c r="B324" t="s">
        <v>656</v>
      </c>
      <c r="C324" t="s">
        <v>10</v>
      </c>
    </row>
    <row r="325" spans="1:3" x14ac:dyDescent="0.5">
      <c r="A325" t="s">
        <v>657</v>
      </c>
      <c r="B325" t="s">
        <v>658</v>
      </c>
      <c r="C325" t="s">
        <v>56</v>
      </c>
    </row>
    <row r="326" spans="1:3" x14ac:dyDescent="0.5">
      <c r="A326" t="s">
        <v>659</v>
      </c>
      <c r="B326" t="s">
        <v>660</v>
      </c>
      <c r="C326" t="s">
        <v>56</v>
      </c>
    </row>
    <row r="327" spans="1:3" x14ac:dyDescent="0.5">
      <c r="A327" t="s">
        <v>661</v>
      </c>
      <c r="B327" t="s">
        <v>662</v>
      </c>
      <c r="C327" t="s">
        <v>15</v>
      </c>
    </row>
    <row r="328" spans="1:3" x14ac:dyDescent="0.5">
      <c r="A328" t="s">
        <v>663</v>
      </c>
      <c r="B328" t="s">
        <v>664</v>
      </c>
      <c r="C328" t="s">
        <v>56</v>
      </c>
    </row>
    <row r="329" spans="1:3" x14ac:dyDescent="0.5">
      <c r="A329" t="s">
        <v>665</v>
      </c>
      <c r="B329" t="s">
        <v>666</v>
      </c>
      <c r="C329" t="s">
        <v>25</v>
      </c>
    </row>
    <row r="330" spans="1:3" x14ac:dyDescent="0.5">
      <c r="A330" t="s">
        <v>667</v>
      </c>
      <c r="B330" t="s">
        <v>668</v>
      </c>
      <c r="C330" t="s">
        <v>25</v>
      </c>
    </row>
    <row r="331" spans="1:3" x14ac:dyDescent="0.5">
      <c r="A331" t="s">
        <v>669</v>
      </c>
      <c r="B331" t="s">
        <v>670</v>
      </c>
      <c r="C331" t="s">
        <v>30</v>
      </c>
    </row>
    <row r="332" spans="1:3" x14ac:dyDescent="0.5">
      <c r="A332" t="s">
        <v>671</v>
      </c>
      <c r="B332" t="s">
        <v>672</v>
      </c>
      <c r="C332" t="s">
        <v>15</v>
      </c>
    </row>
    <row r="333" spans="1:3" x14ac:dyDescent="0.5">
      <c r="A333" t="s">
        <v>673</v>
      </c>
      <c r="B333" t="s">
        <v>673</v>
      </c>
      <c r="C333" t="s">
        <v>25</v>
      </c>
    </row>
    <row r="334" spans="1:3" x14ac:dyDescent="0.5">
      <c r="A334" t="s">
        <v>674</v>
      </c>
      <c r="B334" t="s">
        <v>675</v>
      </c>
      <c r="C334" t="s">
        <v>25</v>
      </c>
    </row>
    <row r="335" spans="1:3" x14ac:dyDescent="0.5">
      <c r="A335" t="s">
        <v>676</v>
      </c>
      <c r="B335" t="s">
        <v>677</v>
      </c>
      <c r="C335" t="s">
        <v>15</v>
      </c>
    </row>
    <row r="336" spans="1:3" x14ac:dyDescent="0.5">
      <c r="A336" t="s">
        <v>678</v>
      </c>
      <c r="B336" t="s">
        <v>679</v>
      </c>
      <c r="C336" t="s">
        <v>51</v>
      </c>
    </row>
    <row r="337" spans="1:3" x14ac:dyDescent="0.5">
      <c r="A337" t="s">
        <v>680</v>
      </c>
      <c r="B337" t="s">
        <v>681</v>
      </c>
      <c r="C337" t="s">
        <v>30</v>
      </c>
    </row>
    <row r="338" spans="1:3" x14ac:dyDescent="0.5">
      <c r="A338" t="s">
        <v>682</v>
      </c>
      <c r="B338" t="s">
        <v>683</v>
      </c>
      <c r="C338" t="s">
        <v>51</v>
      </c>
    </row>
    <row r="339" spans="1:3" x14ac:dyDescent="0.5">
      <c r="A339" t="s">
        <v>684</v>
      </c>
      <c r="B339" t="s">
        <v>685</v>
      </c>
      <c r="C339" t="s">
        <v>51</v>
      </c>
    </row>
    <row r="340" spans="1:3" x14ac:dyDescent="0.5">
      <c r="A340" t="s">
        <v>686</v>
      </c>
      <c r="B340" t="s">
        <v>687</v>
      </c>
      <c r="C340" t="s">
        <v>22</v>
      </c>
    </row>
    <row r="341" spans="1:3" x14ac:dyDescent="0.5">
      <c r="A341" t="s">
        <v>688</v>
      </c>
      <c r="B341" t="s">
        <v>689</v>
      </c>
      <c r="C341" t="s">
        <v>33</v>
      </c>
    </row>
    <row r="342" spans="1:3" x14ac:dyDescent="0.5">
      <c r="A342" t="s">
        <v>690</v>
      </c>
      <c r="B342" t="s">
        <v>691</v>
      </c>
      <c r="C342" t="s">
        <v>22</v>
      </c>
    </row>
    <row r="343" spans="1:3" x14ac:dyDescent="0.5">
      <c r="A343" t="s">
        <v>692</v>
      </c>
      <c r="B343" t="s">
        <v>693</v>
      </c>
      <c r="C343" t="s">
        <v>5</v>
      </c>
    </row>
    <row r="344" spans="1:3" x14ac:dyDescent="0.5">
      <c r="A344" t="s">
        <v>694</v>
      </c>
      <c r="B344" t="s">
        <v>695</v>
      </c>
      <c r="C344" t="s">
        <v>5</v>
      </c>
    </row>
    <row r="345" spans="1:3" x14ac:dyDescent="0.5">
      <c r="A345" t="s">
        <v>696</v>
      </c>
      <c r="B345" t="s">
        <v>697</v>
      </c>
      <c r="C345" t="s">
        <v>25</v>
      </c>
    </row>
    <row r="346" spans="1:3" x14ac:dyDescent="0.5">
      <c r="A346" t="s">
        <v>698</v>
      </c>
      <c r="B346" t="s">
        <v>699</v>
      </c>
      <c r="C346" t="s">
        <v>5</v>
      </c>
    </row>
    <row r="347" spans="1:3" x14ac:dyDescent="0.5">
      <c r="A347" t="s">
        <v>700</v>
      </c>
      <c r="B347" t="s">
        <v>701</v>
      </c>
      <c r="C347" t="s">
        <v>33</v>
      </c>
    </row>
    <row r="348" spans="1:3" x14ac:dyDescent="0.5">
      <c r="A348" t="s">
        <v>702</v>
      </c>
      <c r="B348" t="s">
        <v>703</v>
      </c>
      <c r="C348" t="s">
        <v>22</v>
      </c>
    </row>
    <row r="349" spans="1:3" x14ac:dyDescent="0.5">
      <c r="A349" t="s">
        <v>704</v>
      </c>
      <c r="B349" t="s">
        <v>705</v>
      </c>
      <c r="C349" t="s">
        <v>30</v>
      </c>
    </row>
    <row r="350" spans="1:3" x14ac:dyDescent="0.5">
      <c r="A350" t="s">
        <v>706</v>
      </c>
      <c r="B350" t="s">
        <v>707</v>
      </c>
      <c r="C350" t="s">
        <v>15</v>
      </c>
    </row>
    <row r="351" spans="1:3" x14ac:dyDescent="0.5">
      <c r="A351" t="s">
        <v>708</v>
      </c>
      <c r="B351" t="s">
        <v>709</v>
      </c>
      <c r="C351" t="s">
        <v>33</v>
      </c>
    </row>
    <row r="352" spans="1:3" x14ac:dyDescent="0.5">
      <c r="A352" t="s">
        <v>710</v>
      </c>
      <c r="B352" t="s">
        <v>711</v>
      </c>
      <c r="C352" t="s">
        <v>15</v>
      </c>
    </row>
    <row r="353" spans="1:3" x14ac:dyDescent="0.5">
      <c r="A353" t="s">
        <v>712</v>
      </c>
      <c r="B353" t="s">
        <v>713</v>
      </c>
      <c r="C353" t="s">
        <v>33</v>
      </c>
    </row>
    <row r="354" spans="1:3" x14ac:dyDescent="0.5">
      <c r="A354" t="s">
        <v>714</v>
      </c>
      <c r="B354" t="s">
        <v>715</v>
      </c>
      <c r="C354" t="s">
        <v>91</v>
      </c>
    </row>
    <row r="355" spans="1:3" x14ac:dyDescent="0.5">
      <c r="A355" t="s">
        <v>716</v>
      </c>
      <c r="B355" t="s">
        <v>717</v>
      </c>
      <c r="C355" t="s">
        <v>5</v>
      </c>
    </row>
    <row r="356" spans="1:3" x14ac:dyDescent="0.5">
      <c r="A356" t="s">
        <v>718</v>
      </c>
      <c r="B356" t="s">
        <v>719</v>
      </c>
      <c r="C356" t="s">
        <v>51</v>
      </c>
    </row>
    <row r="357" spans="1:3" x14ac:dyDescent="0.5">
      <c r="A357" t="s">
        <v>720</v>
      </c>
      <c r="B357" t="s">
        <v>721</v>
      </c>
      <c r="C357" t="s">
        <v>15</v>
      </c>
    </row>
    <row r="358" spans="1:3" x14ac:dyDescent="0.5">
      <c r="A358" t="s">
        <v>722</v>
      </c>
      <c r="B358" t="s">
        <v>723</v>
      </c>
      <c r="C358" t="s">
        <v>91</v>
      </c>
    </row>
    <row r="359" spans="1:3" x14ac:dyDescent="0.5">
      <c r="A359" t="s">
        <v>724</v>
      </c>
      <c r="B359" t="s">
        <v>725</v>
      </c>
      <c r="C359" t="s">
        <v>15</v>
      </c>
    </row>
    <row r="360" spans="1:3" x14ac:dyDescent="0.5">
      <c r="A360" t="s">
        <v>726</v>
      </c>
      <c r="B360" t="s">
        <v>727</v>
      </c>
      <c r="C360" t="s">
        <v>5</v>
      </c>
    </row>
    <row r="361" spans="1:3" x14ac:dyDescent="0.5">
      <c r="A361" t="s">
        <v>728</v>
      </c>
      <c r="B361" t="s">
        <v>729</v>
      </c>
      <c r="C361" t="s">
        <v>5</v>
      </c>
    </row>
    <row r="362" spans="1:3" x14ac:dyDescent="0.5">
      <c r="A362" t="s">
        <v>730</v>
      </c>
      <c r="B362" t="s">
        <v>731</v>
      </c>
      <c r="C362" t="s">
        <v>30</v>
      </c>
    </row>
    <row r="363" spans="1:3" x14ac:dyDescent="0.5">
      <c r="A363" t="s">
        <v>732</v>
      </c>
      <c r="B363" t="s">
        <v>733</v>
      </c>
      <c r="C363" t="s">
        <v>15</v>
      </c>
    </row>
    <row r="364" spans="1:3" x14ac:dyDescent="0.5">
      <c r="A364" t="s">
        <v>734</v>
      </c>
      <c r="B364" t="s">
        <v>735</v>
      </c>
      <c r="C364" t="s">
        <v>15</v>
      </c>
    </row>
    <row r="365" spans="1:3" x14ac:dyDescent="0.5">
      <c r="A365" t="s">
        <v>736</v>
      </c>
      <c r="B365" t="s">
        <v>737</v>
      </c>
      <c r="C365" t="s">
        <v>51</v>
      </c>
    </row>
    <row r="366" spans="1:3" x14ac:dyDescent="0.5">
      <c r="A366" t="s">
        <v>738</v>
      </c>
      <c r="B366" t="s">
        <v>739</v>
      </c>
      <c r="C366" t="s">
        <v>5</v>
      </c>
    </row>
    <row r="367" spans="1:3" x14ac:dyDescent="0.5">
      <c r="A367" t="s">
        <v>740</v>
      </c>
      <c r="B367" t="s">
        <v>741</v>
      </c>
      <c r="C367" t="s">
        <v>5</v>
      </c>
    </row>
    <row r="368" spans="1:3" x14ac:dyDescent="0.5">
      <c r="A368" t="s">
        <v>742</v>
      </c>
      <c r="B368" t="s">
        <v>743</v>
      </c>
      <c r="C368" t="s">
        <v>5</v>
      </c>
    </row>
    <row r="369" spans="1:3" x14ac:dyDescent="0.5">
      <c r="A369" t="s">
        <v>744</v>
      </c>
      <c r="B369" t="s">
        <v>745</v>
      </c>
      <c r="C369" t="s">
        <v>25</v>
      </c>
    </row>
    <row r="370" spans="1:3" x14ac:dyDescent="0.5">
      <c r="A370" t="s">
        <v>746</v>
      </c>
      <c r="B370" t="s">
        <v>747</v>
      </c>
      <c r="C370" t="s">
        <v>5</v>
      </c>
    </row>
    <row r="371" spans="1:3" x14ac:dyDescent="0.5">
      <c r="A371" t="s">
        <v>748</v>
      </c>
      <c r="B371" t="s">
        <v>749</v>
      </c>
      <c r="C371" t="s">
        <v>56</v>
      </c>
    </row>
    <row r="372" spans="1:3" x14ac:dyDescent="0.5">
      <c r="A372" t="s">
        <v>750</v>
      </c>
      <c r="B372" t="s">
        <v>751</v>
      </c>
      <c r="C372" t="s">
        <v>10</v>
      </c>
    </row>
    <row r="373" spans="1:3" x14ac:dyDescent="0.5">
      <c r="A373" t="s">
        <v>752</v>
      </c>
      <c r="B373" t="s">
        <v>753</v>
      </c>
      <c r="C373" t="s">
        <v>22</v>
      </c>
    </row>
    <row r="374" spans="1:3" x14ac:dyDescent="0.5">
      <c r="A374" t="s">
        <v>754</v>
      </c>
      <c r="B374" t="s">
        <v>755</v>
      </c>
      <c r="C374" t="s">
        <v>56</v>
      </c>
    </row>
    <row r="375" spans="1:3" x14ac:dyDescent="0.5">
      <c r="A375" t="s">
        <v>756</v>
      </c>
      <c r="B375" t="s">
        <v>757</v>
      </c>
      <c r="C375" t="s">
        <v>91</v>
      </c>
    </row>
    <row r="376" spans="1:3" x14ac:dyDescent="0.5">
      <c r="A376" t="s">
        <v>758</v>
      </c>
      <c r="B376" t="s">
        <v>759</v>
      </c>
      <c r="C376" t="s">
        <v>22</v>
      </c>
    </row>
    <row r="377" spans="1:3" x14ac:dyDescent="0.5">
      <c r="A377" t="s">
        <v>760</v>
      </c>
      <c r="B377" t="s">
        <v>761</v>
      </c>
      <c r="C377" t="s">
        <v>25</v>
      </c>
    </row>
    <row r="378" spans="1:3" x14ac:dyDescent="0.5">
      <c r="A378" t="s">
        <v>762</v>
      </c>
      <c r="B378" t="s">
        <v>763</v>
      </c>
      <c r="C378" t="s">
        <v>33</v>
      </c>
    </row>
    <row r="379" spans="1:3" x14ac:dyDescent="0.5">
      <c r="A379" t="s">
        <v>764</v>
      </c>
      <c r="B379" t="s">
        <v>765</v>
      </c>
      <c r="C379" t="s">
        <v>30</v>
      </c>
    </row>
    <row r="380" spans="1:3" x14ac:dyDescent="0.5">
      <c r="A380" t="s">
        <v>766</v>
      </c>
      <c r="B380" t="s">
        <v>767</v>
      </c>
      <c r="C380" t="s">
        <v>22</v>
      </c>
    </row>
    <row r="381" spans="1:3" x14ac:dyDescent="0.5">
      <c r="A381" t="s">
        <v>768</v>
      </c>
      <c r="B381" t="s">
        <v>769</v>
      </c>
      <c r="C381" t="s">
        <v>25</v>
      </c>
    </row>
    <row r="382" spans="1:3" x14ac:dyDescent="0.5">
      <c r="A382" t="s">
        <v>770</v>
      </c>
      <c r="B382" t="s">
        <v>771</v>
      </c>
      <c r="C382" t="s">
        <v>56</v>
      </c>
    </row>
    <row r="383" spans="1:3" x14ac:dyDescent="0.5">
      <c r="A383" t="s">
        <v>772</v>
      </c>
      <c r="B383" t="s">
        <v>773</v>
      </c>
      <c r="C383" t="s">
        <v>25</v>
      </c>
    </row>
    <row r="384" spans="1:3" x14ac:dyDescent="0.5">
      <c r="A384" t="s">
        <v>774</v>
      </c>
      <c r="B384" t="s">
        <v>775</v>
      </c>
      <c r="C384" t="s">
        <v>40</v>
      </c>
    </row>
    <row r="385" spans="1:3" x14ac:dyDescent="0.5">
      <c r="A385" t="s">
        <v>776</v>
      </c>
      <c r="B385" t="s">
        <v>777</v>
      </c>
      <c r="C385" t="s">
        <v>25</v>
      </c>
    </row>
    <row r="386" spans="1:3" x14ac:dyDescent="0.5">
      <c r="A386" t="s">
        <v>778</v>
      </c>
      <c r="B386" t="s">
        <v>779</v>
      </c>
      <c r="C386" t="s">
        <v>22</v>
      </c>
    </row>
    <row r="387" spans="1:3" x14ac:dyDescent="0.5">
      <c r="A387" t="s">
        <v>780</v>
      </c>
      <c r="B387" t="s">
        <v>781</v>
      </c>
      <c r="C387" t="s">
        <v>15</v>
      </c>
    </row>
    <row r="388" spans="1:3" x14ac:dyDescent="0.5">
      <c r="A388" t="s">
        <v>782</v>
      </c>
      <c r="B388" t="s">
        <v>783</v>
      </c>
      <c r="C388" t="s">
        <v>40</v>
      </c>
    </row>
    <row r="389" spans="1:3" x14ac:dyDescent="0.5">
      <c r="A389" t="s">
        <v>784</v>
      </c>
      <c r="B389" t="s">
        <v>785</v>
      </c>
      <c r="C389" t="s">
        <v>33</v>
      </c>
    </row>
    <row r="390" spans="1:3" x14ac:dyDescent="0.5">
      <c r="A390" t="s">
        <v>786</v>
      </c>
      <c r="B390" t="s">
        <v>787</v>
      </c>
      <c r="C390" t="s">
        <v>15</v>
      </c>
    </row>
    <row r="391" spans="1:3" x14ac:dyDescent="0.5">
      <c r="A391" t="s">
        <v>788</v>
      </c>
      <c r="B391" t="s">
        <v>789</v>
      </c>
      <c r="C391" t="s">
        <v>5</v>
      </c>
    </row>
    <row r="392" spans="1:3" x14ac:dyDescent="0.5">
      <c r="A392" t="s">
        <v>790</v>
      </c>
      <c r="B392" t="s">
        <v>791</v>
      </c>
      <c r="C392" t="s">
        <v>15</v>
      </c>
    </row>
    <row r="393" spans="1:3" x14ac:dyDescent="0.5">
      <c r="A393" t="s">
        <v>792</v>
      </c>
      <c r="B393" t="s">
        <v>793</v>
      </c>
      <c r="C393" t="s">
        <v>10</v>
      </c>
    </row>
    <row r="394" spans="1:3" x14ac:dyDescent="0.5">
      <c r="A394" t="s">
        <v>794</v>
      </c>
      <c r="B394" t="s">
        <v>795</v>
      </c>
      <c r="C394" t="s">
        <v>33</v>
      </c>
    </row>
    <row r="395" spans="1:3" x14ac:dyDescent="0.5">
      <c r="A395" t="s">
        <v>796</v>
      </c>
      <c r="B395" t="s">
        <v>797</v>
      </c>
      <c r="C395" t="s">
        <v>25</v>
      </c>
    </row>
    <row r="396" spans="1:3" x14ac:dyDescent="0.5">
      <c r="A396" t="s">
        <v>798</v>
      </c>
      <c r="B396" t="s">
        <v>799</v>
      </c>
      <c r="C396" t="s">
        <v>5</v>
      </c>
    </row>
    <row r="397" spans="1:3" x14ac:dyDescent="0.5">
      <c r="A397" t="s">
        <v>800</v>
      </c>
      <c r="B397" t="s">
        <v>801</v>
      </c>
      <c r="C397" t="s">
        <v>40</v>
      </c>
    </row>
    <row r="398" spans="1:3" x14ac:dyDescent="0.5">
      <c r="A398" t="s">
        <v>802</v>
      </c>
      <c r="B398" t="s">
        <v>803</v>
      </c>
      <c r="C398" t="s">
        <v>40</v>
      </c>
    </row>
    <row r="399" spans="1:3" x14ac:dyDescent="0.5">
      <c r="A399" t="s">
        <v>804</v>
      </c>
      <c r="B399" t="s">
        <v>805</v>
      </c>
      <c r="C399" t="s">
        <v>10</v>
      </c>
    </row>
    <row r="400" spans="1:3" x14ac:dyDescent="0.5">
      <c r="A400" t="s">
        <v>806</v>
      </c>
      <c r="B400" t="s">
        <v>807</v>
      </c>
      <c r="C400" t="s">
        <v>25</v>
      </c>
    </row>
    <row r="401" spans="1:3" x14ac:dyDescent="0.5">
      <c r="A401" t="s">
        <v>808</v>
      </c>
      <c r="B401" t="s">
        <v>809</v>
      </c>
      <c r="C401" t="s">
        <v>5</v>
      </c>
    </row>
    <row r="402" spans="1:3" x14ac:dyDescent="0.5">
      <c r="A402" t="s">
        <v>810</v>
      </c>
      <c r="B402" t="s">
        <v>811</v>
      </c>
      <c r="C402" t="s">
        <v>10</v>
      </c>
    </row>
    <row r="403" spans="1:3" x14ac:dyDescent="0.5">
      <c r="A403" t="s">
        <v>812</v>
      </c>
      <c r="B403" t="s">
        <v>813</v>
      </c>
      <c r="C403" t="s">
        <v>10</v>
      </c>
    </row>
    <row r="404" spans="1:3" x14ac:dyDescent="0.5">
      <c r="A404" t="s">
        <v>814</v>
      </c>
      <c r="B404" t="s">
        <v>815</v>
      </c>
      <c r="C404" t="s">
        <v>5</v>
      </c>
    </row>
    <row r="405" spans="1:3" x14ac:dyDescent="0.5">
      <c r="A405" t="s">
        <v>816</v>
      </c>
      <c r="B405" t="s">
        <v>817</v>
      </c>
      <c r="C405" t="s">
        <v>5</v>
      </c>
    </row>
    <row r="406" spans="1:3" x14ac:dyDescent="0.5">
      <c r="A406" t="s">
        <v>818</v>
      </c>
      <c r="B406" t="s">
        <v>819</v>
      </c>
      <c r="C406" t="s">
        <v>15</v>
      </c>
    </row>
    <row r="407" spans="1:3" x14ac:dyDescent="0.5">
      <c r="A407" t="s">
        <v>820</v>
      </c>
      <c r="B407" t="s">
        <v>821</v>
      </c>
      <c r="C407" t="s">
        <v>33</v>
      </c>
    </row>
    <row r="408" spans="1:3" x14ac:dyDescent="0.5">
      <c r="A408" t="s">
        <v>822</v>
      </c>
      <c r="B408" t="s">
        <v>823</v>
      </c>
      <c r="C408" t="s">
        <v>33</v>
      </c>
    </row>
    <row r="409" spans="1:3" x14ac:dyDescent="0.5">
      <c r="A409" t="s">
        <v>824</v>
      </c>
      <c r="B409" t="s">
        <v>825</v>
      </c>
      <c r="C409" t="s">
        <v>25</v>
      </c>
    </row>
    <row r="410" spans="1:3" x14ac:dyDescent="0.5">
      <c r="A410" t="s">
        <v>826</v>
      </c>
      <c r="B410" t="s">
        <v>827</v>
      </c>
      <c r="C410" t="s">
        <v>15</v>
      </c>
    </row>
    <row r="411" spans="1:3" x14ac:dyDescent="0.5">
      <c r="A411" t="s">
        <v>828</v>
      </c>
      <c r="B411" t="s">
        <v>829</v>
      </c>
      <c r="C411" t="s">
        <v>40</v>
      </c>
    </row>
    <row r="412" spans="1:3" x14ac:dyDescent="0.5">
      <c r="A412" t="s">
        <v>830</v>
      </c>
      <c r="B412" t="s">
        <v>831</v>
      </c>
      <c r="C412" t="s">
        <v>91</v>
      </c>
    </row>
    <row r="413" spans="1:3" x14ac:dyDescent="0.5">
      <c r="A413" t="s">
        <v>832</v>
      </c>
      <c r="B413" t="s">
        <v>833</v>
      </c>
      <c r="C413" t="s">
        <v>15</v>
      </c>
    </row>
    <row r="414" spans="1:3" x14ac:dyDescent="0.5">
      <c r="A414" t="s">
        <v>834</v>
      </c>
      <c r="B414" t="s">
        <v>835</v>
      </c>
      <c r="C414" t="s">
        <v>22</v>
      </c>
    </row>
    <row r="415" spans="1:3" x14ac:dyDescent="0.5">
      <c r="A415" t="s">
        <v>836</v>
      </c>
      <c r="B415" t="s">
        <v>837</v>
      </c>
      <c r="C415" t="s">
        <v>15</v>
      </c>
    </row>
    <row r="416" spans="1:3" x14ac:dyDescent="0.5">
      <c r="A416" t="s">
        <v>838</v>
      </c>
      <c r="B416" t="s">
        <v>839</v>
      </c>
      <c r="C416" t="s">
        <v>30</v>
      </c>
    </row>
    <row r="417" spans="1:3" x14ac:dyDescent="0.5">
      <c r="A417" t="s">
        <v>840</v>
      </c>
      <c r="B417" t="s">
        <v>841</v>
      </c>
      <c r="C417" t="s">
        <v>40</v>
      </c>
    </row>
    <row r="418" spans="1:3" x14ac:dyDescent="0.5">
      <c r="A418" t="s">
        <v>842</v>
      </c>
      <c r="B418" t="s">
        <v>843</v>
      </c>
      <c r="C418" t="s">
        <v>15</v>
      </c>
    </row>
    <row r="419" spans="1:3" x14ac:dyDescent="0.5">
      <c r="A419" t="s">
        <v>844</v>
      </c>
      <c r="B419" t="s">
        <v>845</v>
      </c>
      <c r="C419" t="s">
        <v>56</v>
      </c>
    </row>
    <row r="420" spans="1:3" x14ac:dyDescent="0.5">
      <c r="A420" t="s">
        <v>846</v>
      </c>
      <c r="B420" t="s">
        <v>847</v>
      </c>
      <c r="C420" t="s">
        <v>30</v>
      </c>
    </row>
    <row r="421" spans="1:3" x14ac:dyDescent="0.5">
      <c r="A421" t="s">
        <v>848</v>
      </c>
      <c r="B421" t="s">
        <v>849</v>
      </c>
      <c r="C421" t="s">
        <v>5</v>
      </c>
    </row>
    <row r="422" spans="1:3" x14ac:dyDescent="0.5">
      <c r="A422" t="s">
        <v>850</v>
      </c>
      <c r="B422" t="s">
        <v>851</v>
      </c>
      <c r="C422" t="s">
        <v>10</v>
      </c>
    </row>
    <row r="423" spans="1:3" x14ac:dyDescent="0.5">
      <c r="A423" t="s">
        <v>852</v>
      </c>
      <c r="B423" t="s">
        <v>853</v>
      </c>
      <c r="C423" t="s">
        <v>22</v>
      </c>
    </row>
    <row r="424" spans="1:3" x14ac:dyDescent="0.5">
      <c r="A424" t="s">
        <v>854</v>
      </c>
      <c r="B424" t="s">
        <v>855</v>
      </c>
      <c r="C424" t="s">
        <v>5</v>
      </c>
    </row>
    <row r="425" spans="1:3" x14ac:dyDescent="0.5">
      <c r="A425" t="s">
        <v>856</v>
      </c>
      <c r="B425" t="s">
        <v>857</v>
      </c>
      <c r="C425" t="s">
        <v>5</v>
      </c>
    </row>
    <row r="426" spans="1:3" x14ac:dyDescent="0.5">
      <c r="A426" t="s">
        <v>858</v>
      </c>
      <c r="B426" t="s">
        <v>859</v>
      </c>
      <c r="C426" t="s">
        <v>33</v>
      </c>
    </row>
    <row r="427" spans="1:3" x14ac:dyDescent="0.5">
      <c r="A427" t="s">
        <v>860</v>
      </c>
      <c r="B427" t="s">
        <v>861</v>
      </c>
      <c r="C427" t="s">
        <v>25</v>
      </c>
    </row>
    <row r="428" spans="1:3" x14ac:dyDescent="0.5">
      <c r="A428" t="s">
        <v>862</v>
      </c>
      <c r="B428" t="s">
        <v>863</v>
      </c>
      <c r="C428" t="s">
        <v>30</v>
      </c>
    </row>
    <row r="429" spans="1:3" x14ac:dyDescent="0.5">
      <c r="A429" t="s">
        <v>864</v>
      </c>
      <c r="B429" t="s">
        <v>865</v>
      </c>
      <c r="C429" t="s">
        <v>10</v>
      </c>
    </row>
    <row r="430" spans="1:3" x14ac:dyDescent="0.5">
      <c r="A430" t="s">
        <v>866</v>
      </c>
      <c r="B430" t="s">
        <v>867</v>
      </c>
      <c r="C430" t="s">
        <v>10</v>
      </c>
    </row>
    <row r="431" spans="1:3" x14ac:dyDescent="0.5">
      <c r="A431" t="s">
        <v>868</v>
      </c>
      <c r="B431" t="s">
        <v>869</v>
      </c>
      <c r="C431" t="s">
        <v>15</v>
      </c>
    </row>
    <row r="432" spans="1:3" x14ac:dyDescent="0.5">
      <c r="A432" t="s">
        <v>870</v>
      </c>
      <c r="B432" t="s">
        <v>871</v>
      </c>
      <c r="C432" t="s">
        <v>25</v>
      </c>
    </row>
    <row r="433" spans="1:3" x14ac:dyDescent="0.5">
      <c r="A433" t="s">
        <v>872</v>
      </c>
      <c r="B433" t="s">
        <v>873</v>
      </c>
      <c r="C433" t="s">
        <v>15</v>
      </c>
    </row>
    <row r="434" spans="1:3" x14ac:dyDescent="0.5">
      <c r="A434" t="s">
        <v>874</v>
      </c>
      <c r="B434" t="s">
        <v>875</v>
      </c>
      <c r="C434" t="s">
        <v>56</v>
      </c>
    </row>
    <row r="435" spans="1:3" x14ac:dyDescent="0.5">
      <c r="A435" t="s">
        <v>876</v>
      </c>
      <c r="B435" t="s">
        <v>877</v>
      </c>
      <c r="C435" t="s">
        <v>51</v>
      </c>
    </row>
    <row r="436" spans="1:3" x14ac:dyDescent="0.5">
      <c r="A436" t="s">
        <v>878</v>
      </c>
      <c r="B436" t="s">
        <v>879</v>
      </c>
      <c r="C436" t="s">
        <v>25</v>
      </c>
    </row>
    <row r="437" spans="1:3" x14ac:dyDescent="0.5">
      <c r="A437" t="s">
        <v>880</v>
      </c>
      <c r="B437" t="s">
        <v>881</v>
      </c>
      <c r="C437" t="s">
        <v>51</v>
      </c>
    </row>
    <row r="438" spans="1:3" x14ac:dyDescent="0.5">
      <c r="A438" t="s">
        <v>882</v>
      </c>
      <c r="B438" t="s">
        <v>883</v>
      </c>
      <c r="C438" t="s">
        <v>33</v>
      </c>
    </row>
    <row r="439" spans="1:3" x14ac:dyDescent="0.5">
      <c r="A439" t="s">
        <v>884</v>
      </c>
      <c r="B439" t="s">
        <v>885</v>
      </c>
      <c r="C439" t="s">
        <v>91</v>
      </c>
    </row>
    <row r="440" spans="1:3" x14ac:dyDescent="0.5">
      <c r="A440" t="s">
        <v>886</v>
      </c>
      <c r="B440" t="s">
        <v>887</v>
      </c>
      <c r="C440" t="s">
        <v>56</v>
      </c>
    </row>
    <row r="441" spans="1:3" x14ac:dyDescent="0.5">
      <c r="A441" t="s">
        <v>888</v>
      </c>
      <c r="B441" t="s">
        <v>889</v>
      </c>
      <c r="C441" t="s">
        <v>15</v>
      </c>
    </row>
    <row r="442" spans="1:3" x14ac:dyDescent="0.5">
      <c r="A442" t="s">
        <v>890</v>
      </c>
      <c r="B442" t="s">
        <v>891</v>
      </c>
      <c r="C442" t="s">
        <v>15</v>
      </c>
    </row>
    <row r="443" spans="1:3" x14ac:dyDescent="0.5">
      <c r="A443" t="s">
        <v>892</v>
      </c>
      <c r="B443" t="s">
        <v>893</v>
      </c>
      <c r="C443" t="s">
        <v>10</v>
      </c>
    </row>
    <row r="444" spans="1:3" x14ac:dyDescent="0.5">
      <c r="A444" t="s">
        <v>894</v>
      </c>
      <c r="B444" t="s">
        <v>895</v>
      </c>
      <c r="C444" t="s">
        <v>15</v>
      </c>
    </row>
    <row r="445" spans="1:3" x14ac:dyDescent="0.5">
      <c r="A445" t="s">
        <v>896</v>
      </c>
      <c r="B445" t="s">
        <v>897</v>
      </c>
      <c r="C445" t="s">
        <v>33</v>
      </c>
    </row>
    <row r="446" spans="1:3" x14ac:dyDescent="0.5">
      <c r="A446" t="s">
        <v>898</v>
      </c>
      <c r="B446" t="s">
        <v>899</v>
      </c>
      <c r="C446" t="s">
        <v>15</v>
      </c>
    </row>
    <row r="447" spans="1:3" x14ac:dyDescent="0.5">
      <c r="A447" t="s">
        <v>900</v>
      </c>
      <c r="B447" t="s">
        <v>901</v>
      </c>
      <c r="C447" t="s">
        <v>91</v>
      </c>
    </row>
    <row r="448" spans="1:3" x14ac:dyDescent="0.5">
      <c r="A448" t="s">
        <v>902</v>
      </c>
      <c r="B448" t="s">
        <v>903</v>
      </c>
      <c r="C448" t="s">
        <v>5</v>
      </c>
    </row>
    <row r="449" spans="1:3" x14ac:dyDescent="0.5">
      <c r="A449" t="s">
        <v>904</v>
      </c>
      <c r="B449" t="s">
        <v>905</v>
      </c>
      <c r="C449" t="s">
        <v>10</v>
      </c>
    </row>
    <row r="450" spans="1:3" x14ac:dyDescent="0.5">
      <c r="A450" t="s">
        <v>906</v>
      </c>
      <c r="B450" t="s">
        <v>907</v>
      </c>
      <c r="C450" t="s">
        <v>33</v>
      </c>
    </row>
    <row r="451" spans="1:3" x14ac:dyDescent="0.5">
      <c r="A451" t="s">
        <v>908</v>
      </c>
      <c r="B451" t="s">
        <v>909</v>
      </c>
      <c r="C451" t="s">
        <v>33</v>
      </c>
    </row>
    <row r="452" spans="1:3" x14ac:dyDescent="0.5">
      <c r="A452" t="s">
        <v>910</v>
      </c>
      <c r="B452" t="s">
        <v>911</v>
      </c>
      <c r="C452" t="s">
        <v>5</v>
      </c>
    </row>
    <row r="453" spans="1:3" x14ac:dyDescent="0.5">
      <c r="A453" t="s">
        <v>912</v>
      </c>
      <c r="B453" t="s">
        <v>913</v>
      </c>
      <c r="C453" t="s">
        <v>5</v>
      </c>
    </row>
    <row r="454" spans="1:3" x14ac:dyDescent="0.5">
      <c r="A454" t="s">
        <v>914</v>
      </c>
      <c r="B454" t="s">
        <v>915</v>
      </c>
      <c r="C454" t="s">
        <v>25</v>
      </c>
    </row>
    <row r="455" spans="1:3" x14ac:dyDescent="0.5">
      <c r="A455" t="s">
        <v>916</v>
      </c>
      <c r="B455" t="s">
        <v>917</v>
      </c>
      <c r="C455" t="s">
        <v>15</v>
      </c>
    </row>
    <row r="456" spans="1:3" x14ac:dyDescent="0.5">
      <c r="A456" t="s">
        <v>918</v>
      </c>
      <c r="B456" t="s">
        <v>919</v>
      </c>
      <c r="C456" t="s">
        <v>25</v>
      </c>
    </row>
    <row r="457" spans="1:3" x14ac:dyDescent="0.5">
      <c r="A457" t="s">
        <v>920</v>
      </c>
      <c r="B457" t="s">
        <v>921</v>
      </c>
      <c r="C457" t="s">
        <v>15</v>
      </c>
    </row>
    <row r="458" spans="1:3" x14ac:dyDescent="0.5">
      <c r="A458" t="s">
        <v>922</v>
      </c>
      <c r="B458" t="s">
        <v>923</v>
      </c>
      <c r="C458" t="s">
        <v>56</v>
      </c>
    </row>
    <row r="459" spans="1:3" x14ac:dyDescent="0.5">
      <c r="A459" t="s">
        <v>924</v>
      </c>
      <c r="B459" t="s">
        <v>925</v>
      </c>
      <c r="C459" t="s">
        <v>25</v>
      </c>
    </row>
    <row r="460" spans="1:3" x14ac:dyDescent="0.5">
      <c r="A460" t="s">
        <v>926</v>
      </c>
      <c r="B460" t="s">
        <v>927</v>
      </c>
      <c r="C460" t="s">
        <v>5</v>
      </c>
    </row>
    <row r="461" spans="1:3" x14ac:dyDescent="0.5">
      <c r="A461" t="s">
        <v>928</v>
      </c>
      <c r="B461" t="s">
        <v>929</v>
      </c>
      <c r="C461" t="s">
        <v>40</v>
      </c>
    </row>
    <row r="462" spans="1:3" x14ac:dyDescent="0.5">
      <c r="A462" t="s">
        <v>930</v>
      </c>
      <c r="B462" t="s">
        <v>931</v>
      </c>
      <c r="C462" t="s">
        <v>33</v>
      </c>
    </row>
    <row r="463" spans="1:3" x14ac:dyDescent="0.5">
      <c r="A463" t="s">
        <v>932</v>
      </c>
      <c r="B463" t="s">
        <v>933</v>
      </c>
      <c r="C463" t="s">
        <v>5</v>
      </c>
    </row>
    <row r="464" spans="1:3" x14ac:dyDescent="0.5">
      <c r="A464" t="s">
        <v>934</v>
      </c>
      <c r="B464" t="s">
        <v>935</v>
      </c>
      <c r="C464" t="s">
        <v>5</v>
      </c>
    </row>
    <row r="465" spans="1:3" x14ac:dyDescent="0.5">
      <c r="A465" t="s">
        <v>936</v>
      </c>
      <c r="B465" t="s">
        <v>937</v>
      </c>
      <c r="C465" t="s">
        <v>5</v>
      </c>
    </row>
    <row r="466" spans="1:3" x14ac:dyDescent="0.5">
      <c r="A466" t="s">
        <v>938</v>
      </c>
      <c r="B466" t="s">
        <v>939</v>
      </c>
      <c r="C466" t="s">
        <v>5</v>
      </c>
    </row>
    <row r="467" spans="1:3" x14ac:dyDescent="0.5">
      <c r="A467" t="s">
        <v>940</v>
      </c>
      <c r="B467" t="s">
        <v>941</v>
      </c>
      <c r="C467" t="s">
        <v>10</v>
      </c>
    </row>
    <row r="468" spans="1:3" x14ac:dyDescent="0.5">
      <c r="A468" t="s">
        <v>942</v>
      </c>
      <c r="B468" t="s">
        <v>943</v>
      </c>
      <c r="C468" t="s">
        <v>10</v>
      </c>
    </row>
    <row r="469" spans="1:3" x14ac:dyDescent="0.5">
      <c r="A469" t="s">
        <v>944</v>
      </c>
      <c r="B469" t="s">
        <v>945</v>
      </c>
      <c r="C469" t="s">
        <v>91</v>
      </c>
    </row>
    <row r="470" spans="1:3" x14ac:dyDescent="0.5">
      <c r="A470" t="s">
        <v>946</v>
      </c>
      <c r="B470" t="s">
        <v>947</v>
      </c>
      <c r="C470" t="s">
        <v>40</v>
      </c>
    </row>
    <row r="471" spans="1:3" x14ac:dyDescent="0.5">
      <c r="A471" t="s">
        <v>948</v>
      </c>
      <c r="B471" t="s">
        <v>949</v>
      </c>
      <c r="C471" t="s">
        <v>5</v>
      </c>
    </row>
    <row r="472" spans="1:3" x14ac:dyDescent="0.5">
      <c r="A472" t="s">
        <v>950</v>
      </c>
      <c r="B472" t="s">
        <v>951</v>
      </c>
      <c r="C472" t="s">
        <v>15</v>
      </c>
    </row>
    <row r="473" spans="1:3" x14ac:dyDescent="0.5">
      <c r="A473" t="s">
        <v>952</v>
      </c>
      <c r="B473" t="s">
        <v>953</v>
      </c>
      <c r="C473" t="s">
        <v>5</v>
      </c>
    </row>
    <row r="474" spans="1:3" x14ac:dyDescent="0.5">
      <c r="A474" t="s">
        <v>954</v>
      </c>
      <c r="B474" t="s">
        <v>955</v>
      </c>
      <c r="C474" t="s">
        <v>51</v>
      </c>
    </row>
    <row r="475" spans="1:3" x14ac:dyDescent="0.5">
      <c r="A475" t="s">
        <v>956</v>
      </c>
      <c r="B475" t="s">
        <v>957</v>
      </c>
      <c r="C475" t="s">
        <v>10</v>
      </c>
    </row>
    <row r="476" spans="1:3" x14ac:dyDescent="0.5">
      <c r="A476" t="s">
        <v>958</v>
      </c>
      <c r="B476" t="s">
        <v>959</v>
      </c>
      <c r="C476" t="s">
        <v>10</v>
      </c>
    </row>
    <row r="477" spans="1:3" x14ac:dyDescent="0.5">
      <c r="A477" t="s">
        <v>960</v>
      </c>
      <c r="B477" t="s">
        <v>961</v>
      </c>
      <c r="C477" t="s">
        <v>40</v>
      </c>
    </row>
    <row r="478" spans="1:3" x14ac:dyDescent="0.5">
      <c r="A478" t="s">
        <v>962</v>
      </c>
      <c r="B478" t="s">
        <v>963</v>
      </c>
      <c r="C478" t="s">
        <v>25</v>
      </c>
    </row>
    <row r="479" spans="1:3" x14ac:dyDescent="0.5">
      <c r="A479" t="s">
        <v>964</v>
      </c>
      <c r="B479" t="s">
        <v>965</v>
      </c>
      <c r="C479" t="s">
        <v>22</v>
      </c>
    </row>
    <row r="480" spans="1:3" x14ac:dyDescent="0.5">
      <c r="A480" t="s">
        <v>966</v>
      </c>
      <c r="B480" t="s">
        <v>967</v>
      </c>
      <c r="C480" t="s">
        <v>30</v>
      </c>
    </row>
    <row r="481" spans="1:3" x14ac:dyDescent="0.5">
      <c r="A481" t="s">
        <v>968</v>
      </c>
      <c r="B481" t="s">
        <v>969</v>
      </c>
      <c r="C481" t="s">
        <v>25</v>
      </c>
    </row>
    <row r="482" spans="1:3" x14ac:dyDescent="0.5">
      <c r="A482" t="s">
        <v>970</v>
      </c>
      <c r="B482" t="s">
        <v>971</v>
      </c>
      <c r="C482" t="s">
        <v>5</v>
      </c>
    </row>
    <row r="483" spans="1:3" x14ac:dyDescent="0.5">
      <c r="A483" t="s">
        <v>972</v>
      </c>
      <c r="B483" t="s">
        <v>973</v>
      </c>
      <c r="C483" t="s">
        <v>5</v>
      </c>
    </row>
    <row r="484" spans="1:3" x14ac:dyDescent="0.5">
      <c r="A484" t="s">
        <v>974</v>
      </c>
      <c r="B484" t="s">
        <v>975</v>
      </c>
      <c r="C484" t="s">
        <v>56</v>
      </c>
    </row>
    <row r="485" spans="1:3" x14ac:dyDescent="0.5">
      <c r="A485" t="s">
        <v>976</v>
      </c>
      <c r="B485" t="s">
        <v>977</v>
      </c>
      <c r="C485" t="s">
        <v>56</v>
      </c>
    </row>
    <row r="486" spans="1:3" x14ac:dyDescent="0.5">
      <c r="A486" t="s">
        <v>978</v>
      </c>
      <c r="B486" t="s">
        <v>979</v>
      </c>
      <c r="C486" t="s">
        <v>51</v>
      </c>
    </row>
    <row r="487" spans="1:3" x14ac:dyDescent="0.5">
      <c r="A487" t="s">
        <v>980</v>
      </c>
      <c r="B487" t="s">
        <v>981</v>
      </c>
      <c r="C487" t="s">
        <v>51</v>
      </c>
    </row>
    <row r="488" spans="1:3" x14ac:dyDescent="0.5">
      <c r="A488" t="s">
        <v>982</v>
      </c>
      <c r="B488" t="s">
        <v>983</v>
      </c>
      <c r="C488" t="s">
        <v>5</v>
      </c>
    </row>
    <row r="489" spans="1:3" x14ac:dyDescent="0.5">
      <c r="A489" t="s">
        <v>984</v>
      </c>
      <c r="B489" t="s">
        <v>985</v>
      </c>
      <c r="C489" t="s">
        <v>10</v>
      </c>
    </row>
    <row r="490" spans="1:3" x14ac:dyDescent="0.5">
      <c r="A490" t="s">
        <v>986</v>
      </c>
      <c r="B490" t="s">
        <v>987</v>
      </c>
      <c r="C490" t="s">
        <v>22</v>
      </c>
    </row>
    <row r="491" spans="1:3" x14ac:dyDescent="0.5">
      <c r="A491" t="s">
        <v>988</v>
      </c>
      <c r="B491" t="s">
        <v>989</v>
      </c>
      <c r="C491" t="s">
        <v>25</v>
      </c>
    </row>
    <row r="492" spans="1:3" x14ac:dyDescent="0.5">
      <c r="A492" t="s">
        <v>990</v>
      </c>
      <c r="B492" t="s">
        <v>991</v>
      </c>
      <c r="C492" t="s">
        <v>40</v>
      </c>
    </row>
    <row r="493" spans="1:3" x14ac:dyDescent="0.5">
      <c r="A493" t="s">
        <v>992</v>
      </c>
      <c r="B493" t="s">
        <v>993</v>
      </c>
      <c r="C493" t="s">
        <v>10</v>
      </c>
    </row>
    <row r="494" spans="1:3" x14ac:dyDescent="0.5">
      <c r="A494" t="s">
        <v>994</v>
      </c>
      <c r="B494" t="s">
        <v>995</v>
      </c>
      <c r="C494" t="s">
        <v>15</v>
      </c>
    </row>
    <row r="495" spans="1:3" x14ac:dyDescent="0.5">
      <c r="A495" t="s">
        <v>996</v>
      </c>
      <c r="B495" t="s">
        <v>997</v>
      </c>
      <c r="C495" t="s">
        <v>40</v>
      </c>
    </row>
    <row r="496" spans="1:3" x14ac:dyDescent="0.5">
      <c r="A496" t="s">
        <v>998</v>
      </c>
      <c r="B496" t="s">
        <v>999</v>
      </c>
      <c r="C496" t="s">
        <v>91</v>
      </c>
    </row>
    <row r="497" spans="1:3" x14ac:dyDescent="0.5">
      <c r="A497" t="s">
        <v>1000</v>
      </c>
      <c r="B497" t="s">
        <v>1001</v>
      </c>
      <c r="C497" t="s">
        <v>25</v>
      </c>
    </row>
    <row r="498" spans="1:3" x14ac:dyDescent="0.5">
      <c r="A498" t="s">
        <v>1002</v>
      </c>
      <c r="B498" t="s">
        <v>1003</v>
      </c>
      <c r="C498" t="s">
        <v>33</v>
      </c>
    </row>
    <row r="499" spans="1:3" x14ac:dyDescent="0.5">
      <c r="A499" t="s">
        <v>1004</v>
      </c>
      <c r="B499" t="s">
        <v>1005</v>
      </c>
      <c r="C499" t="s">
        <v>22</v>
      </c>
    </row>
    <row r="500" spans="1:3" x14ac:dyDescent="0.5">
      <c r="A500" t="s">
        <v>1006</v>
      </c>
      <c r="B500" t="s">
        <v>1007</v>
      </c>
      <c r="C500" t="s">
        <v>5</v>
      </c>
    </row>
    <row r="501" spans="1:3" x14ac:dyDescent="0.5">
      <c r="A501" t="s">
        <v>1008</v>
      </c>
      <c r="B501" t="s">
        <v>1009</v>
      </c>
      <c r="C501" t="s">
        <v>33</v>
      </c>
    </row>
    <row r="502" spans="1:3" x14ac:dyDescent="0.5">
      <c r="A502" t="s">
        <v>1010</v>
      </c>
      <c r="B502" t="s">
        <v>1011</v>
      </c>
      <c r="C502" t="s">
        <v>15</v>
      </c>
    </row>
    <row r="503" spans="1:3" x14ac:dyDescent="0.5">
      <c r="A503" t="s">
        <v>1012</v>
      </c>
      <c r="B503" t="s">
        <v>1013</v>
      </c>
      <c r="C503" t="s">
        <v>10</v>
      </c>
    </row>
    <row r="504" spans="1:3" x14ac:dyDescent="0.5">
      <c r="A504" t="s">
        <v>1014</v>
      </c>
      <c r="B504" t="s">
        <v>1015</v>
      </c>
      <c r="C504" t="s">
        <v>10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A475B-DF38-4EFB-8FDC-C5DA38C83973}">
  <sheetPr codeName="Sheet7"/>
  <dimension ref="A1:I502"/>
  <sheetViews>
    <sheetView workbookViewId="0">
      <selection activeCell="J3" sqref="J3"/>
    </sheetView>
  </sheetViews>
  <sheetFormatPr defaultRowHeight="15.75" x14ac:dyDescent="0.5"/>
  <cols>
    <col min="1" max="1" width="7.9375" bestFit="1" customWidth="1"/>
    <col min="2" max="2" width="12.3125" bestFit="1" customWidth="1"/>
    <col min="3" max="6" width="11.6875" bestFit="1" customWidth="1"/>
    <col min="7" max="7" width="10.6875" bestFit="1" customWidth="1"/>
    <col min="8" max="8" width="8.5" bestFit="1" customWidth="1"/>
    <col min="9" max="9" width="9.9375" bestFit="1" customWidth="1"/>
    <col min="10" max="10" width="11.375" bestFit="1" customWidth="1"/>
  </cols>
  <sheetData>
    <row r="1" spans="1:9" x14ac:dyDescent="0.5">
      <c r="A1" t="s">
        <v>1117</v>
      </c>
      <c r="B1" t="s">
        <v>1150</v>
      </c>
      <c r="C1" t="s">
        <v>1118</v>
      </c>
      <c r="D1" t="s">
        <v>1119</v>
      </c>
      <c r="E1" t="s">
        <v>1120</v>
      </c>
      <c r="F1" t="s">
        <v>1121</v>
      </c>
      <c r="G1" t="s">
        <v>1122</v>
      </c>
      <c r="H1" t="s">
        <v>1123</v>
      </c>
      <c r="I1" t="s">
        <v>1124</v>
      </c>
    </row>
    <row r="2" spans="1:9" x14ac:dyDescent="0.5">
      <c r="A2" s="1">
        <v>45300</v>
      </c>
      <c r="B2">
        <v>-1.47790067990816E-3</v>
      </c>
      <c r="C2">
        <v>4741.93017578125</v>
      </c>
      <c r="D2">
        <v>4765.47021484375</v>
      </c>
      <c r="E2">
        <v>4730.35009765625</v>
      </c>
      <c r="F2">
        <v>4756.5</v>
      </c>
      <c r="G2">
        <v>3529960000</v>
      </c>
      <c r="H2">
        <v>0</v>
      </c>
      <c r="I2">
        <v>0</v>
      </c>
    </row>
    <row r="3" spans="1:9" x14ac:dyDescent="0.5">
      <c r="A3" s="1">
        <v>45301</v>
      </c>
      <c r="B3">
        <v>5.6659718937244197E-3</v>
      </c>
      <c r="C3">
        <v>4759.93994140625</v>
      </c>
      <c r="D3">
        <v>4790.7998046875</v>
      </c>
      <c r="E3">
        <v>4756.2001953125</v>
      </c>
      <c r="F3">
        <v>4783.4501953125</v>
      </c>
      <c r="G3">
        <v>3498680000</v>
      </c>
      <c r="H3">
        <v>0</v>
      </c>
      <c r="I3">
        <v>0</v>
      </c>
    </row>
    <row r="4" spans="1:9" x14ac:dyDescent="0.5">
      <c r="A4" s="1">
        <v>45302</v>
      </c>
      <c r="B4">
        <v>-6.7105557838686904E-4</v>
      </c>
      <c r="C4">
        <v>4792.1298828125</v>
      </c>
      <c r="D4">
        <v>4798.5</v>
      </c>
      <c r="E4">
        <v>4739.580078125</v>
      </c>
      <c r="F4">
        <v>4780.240234375</v>
      </c>
      <c r="G4">
        <v>3759890000</v>
      </c>
      <c r="H4">
        <v>0</v>
      </c>
      <c r="I4">
        <v>0</v>
      </c>
    </row>
    <row r="5" spans="1:9" x14ac:dyDescent="0.5">
      <c r="A5" s="1">
        <v>45303</v>
      </c>
      <c r="B5">
        <v>7.5097559411041405E-4</v>
      </c>
      <c r="C5">
        <v>4791.18017578125</v>
      </c>
      <c r="D5">
        <v>4802.39990234375</v>
      </c>
      <c r="E5">
        <v>4768.97998046875</v>
      </c>
      <c r="F5">
        <v>4783.830078125</v>
      </c>
      <c r="G5">
        <v>3486340000</v>
      </c>
      <c r="H5">
        <v>0</v>
      </c>
      <c r="I5">
        <v>0</v>
      </c>
    </row>
    <row r="6" spans="1:9" x14ac:dyDescent="0.5">
      <c r="A6" s="1">
        <v>45307</v>
      </c>
      <c r="B6">
        <v>-3.7313402367431499E-3</v>
      </c>
      <c r="C6">
        <v>4772.35009765625</v>
      </c>
      <c r="D6">
        <v>4782.33984375</v>
      </c>
      <c r="E6">
        <v>4747.1201171875</v>
      </c>
      <c r="F6">
        <v>4765.97998046875</v>
      </c>
      <c r="G6">
        <v>4260550000</v>
      </c>
      <c r="H6">
        <v>0</v>
      </c>
      <c r="I6">
        <v>0</v>
      </c>
    </row>
    <row r="7" spans="1:9" x14ac:dyDescent="0.5">
      <c r="A7" s="1">
        <v>45308</v>
      </c>
      <c r="B7">
        <v>-5.6168971839904904E-3</v>
      </c>
      <c r="C7">
        <v>4739.1298828125</v>
      </c>
      <c r="D7">
        <v>4744.22998046875</v>
      </c>
      <c r="E7">
        <v>4714.81982421875</v>
      </c>
      <c r="F7">
        <v>4739.2099609375</v>
      </c>
      <c r="G7">
        <v>3928600000</v>
      </c>
      <c r="H7">
        <v>0</v>
      </c>
      <c r="I7">
        <v>0</v>
      </c>
    </row>
    <row r="8" spans="1:9" x14ac:dyDescent="0.5">
      <c r="A8" s="1">
        <v>45309</v>
      </c>
      <c r="B8" s="28">
        <v>8.805260963896E-3</v>
      </c>
      <c r="C8">
        <v>4760.10009765625</v>
      </c>
      <c r="D8">
        <v>4785.7900390625</v>
      </c>
      <c r="E8">
        <v>4740.56982421875</v>
      </c>
      <c r="F8">
        <v>4780.93994140625</v>
      </c>
      <c r="G8">
        <v>4019000000</v>
      </c>
      <c r="H8">
        <v>0</v>
      </c>
      <c r="I8">
        <v>0</v>
      </c>
    </row>
    <row r="9" spans="1:9" x14ac:dyDescent="0.5">
      <c r="A9" s="1">
        <v>45310</v>
      </c>
      <c r="B9">
        <v>1.2313502764936099E-2</v>
      </c>
      <c r="C9">
        <v>4796.27978515625</v>
      </c>
      <c r="D9">
        <v>4842.06982421875</v>
      </c>
      <c r="E9">
        <v>4785.8701171875</v>
      </c>
      <c r="F9">
        <v>4839.81005859375</v>
      </c>
      <c r="G9">
        <v>4287200000</v>
      </c>
      <c r="H9">
        <v>0</v>
      </c>
      <c r="I9">
        <v>0</v>
      </c>
    </row>
    <row r="10" spans="1:9" x14ac:dyDescent="0.5">
      <c r="A10" s="1">
        <v>45313</v>
      </c>
      <c r="B10">
        <v>2.1943252026270701E-3</v>
      </c>
      <c r="C10">
        <v>4853.419921875</v>
      </c>
      <c r="D10">
        <v>4868.41015625</v>
      </c>
      <c r="E10">
        <v>4844.0498046875</v>
      </c>
      <c r="F10">
        <v>4850.43017578125</v>
      </c>
      <c r="G10">
        <v>4297610000</v>
      </c>
      <c r="H10">
        <v>0</v>
      </c>
      <c r="I10">
        <v>0</v>
      </c>
    </row>
    <row r="11" spans="1:9" x14ac:dyDescent="0.5">
      <c r="A11" s="1">
        <v>45314</v>
      </c>
      <c r="B11">
        <v>2.9213742619680302E-3</v>
      </c>
      <c r="C11">
        <v>4856.7998046875</v>
      </c>
      <c r="D11">
        <v>4866.47998046875</v>
      </c>
      <c r="E11">
        <v>4844.3701171875</v>
      </c>
      <c r="F11">
        <v>4864.60009765625</v>
      </c>
      <c r="G11">
        <v>3912800000</v>
      </c>
      <c r="H11">
        <v>0</v>
      </c>
      <c r="I11">
        <v>0</v>
      </c>
    </row>
    <row r="12" spans="1:9" x14ac:dyDescent="0.5">
      <c r="A12" s="1">
        <v>45315</v>
      </c>
      <c r="B12">
        <v>8.1192841178312405E-4</v>
      </c>
      <c r="C12">
        <v>4888.56005859375</v>
      </c>
      <c r="D12">
        <v>4903.68017578125</v>
      </c>
      <c r="E12">
        <v>4865.93994140625</v>
      </c>
      <c r="F12">
        <v>4868.5498046875</v>
      </c>
      <c r="G12">
        <v>4330030000</v>
      </c>
      <c r="H12">
        <v>0</v>
      </c>
      <c r="I12">
        <v>0</v>
      </c>
    </row>
    <row r="13" spans="1:9" x14ac:dyDescent="0.5">
      <c r="A13" s="1">
        <v>45316</v>
      </c>
      <c r="B13">
        <v>5.2603655277063599E-3</v>
      </c>
      <c r="C13">
        <v>4886.66015625</v>
      </c>
      <c r="D13">
        <v>4898.14990234375</v>
      </c>
      <c r="E13">
        <v>4869.33984375</v>
      </c>
      <c r="F13">
        <v>4894.16015625</v>
      </c>
      <c r="G13">
        <v>4020430000</v>
      </c>
      <c r="H13">
        <v>0</v>
      </c>
      <c r="I13">
        <v>0</v>
      </c>
    </row>
    <row r="14" spans="1:9" x14ac:dyDescent="0.5">
      <c r="A14" s="1">
        <v>45317</v>
      </c>
      <c r="B14">
        <v>-6.5178525107645303E-4</v>
      </c>
      <c r="C14">
        <v>4888.91015625</v>
      </c>
      <c r="D14">
        <v>4906.68994140625</v>
      </c>
      <c r="E14">
        <v>4881.47021484375</v>
      </c>
      <c r="F14">
        <v>4890.97021484375</v>
      </c>
      <c r="G14">
        <v>3353400000</v>
      </c>
      <c r="H14">
        <v>0</v>
      </c>
      <c r="I14">
        <v>0</v>
      </c>
    </row>
    <row r="15" spans="1:9" x14ac:dyDescent="0.5">
      <c r="A15" s="1">
        <v>45320</v>
      </c>
      <c r="B15">
        <v>7.5567748961808904E-3</v>
      </c>
      <c r="C15">
        <v>4892.9501953125</v>
      </c>
      <c r="D15">
        <v>4929.31005859375</v>
      </c>
      <c r="E15">
        <v>4887.39990234375</v>
      </c>
      <c r="F15">
        <v>4927.93017578125</v>
      </c>
      <c r="G15">
        <v>3525160000</v>
      </c>
      <c r="H15">
        <v>0</v>
      </c>
      <c r="I15">
        <v>0</v>
      </c>
    </row>
    <row r="16" spans="1:9" x14ac:dyDescent="0.5">
      <c r="A16" s="1">
        <v>45321</v>
      </c>
      <c r="B16">
        <v>-6.0064993453989802E-4</v>
      </c>
      <c r="C16">
        <v>4925.89013671875</v>
      </c>
      <c r="D16">
        <v>4931.08984375</v>
      </c>
      <c r="E16">
        <v>4916.27001953125</v>
      </c>
      <c r="F16">
        <v>4924.97021484375</v>
      </c>
      <c r="G16">
        <v>3836130000</v>
      </c>
      <c r="H16">
        <v>0</v>
      </c>
      <c r="I16">
        <v>0</v>
      </c>
    </row>
    <row r="17" spans="1:9" x14ac:dyDescent="0.5">
      <c r="A17" s="1">
        <v>45322</v>
      </c>
      <c r="B17">
        <v>-1.6105744611597899E-2</v>
      </c>
      <c r="C17">
        <v>4899.18994140625</v>
      </c>
      <c r="D17">
        <v>4906.75</v>
      </c>
      <c r="E17">
        <v>4845.14990234375</v>
      </c>
      <c r="F17">
        <v>4845.64990234375</v>
      </c>
      <c r="G17">
        <v>4696120000</v>
      </c>
      <c r="H17">
        <v>0</v>
      </c>
      <c r="I17">
        <v>0</v>
      </c>
    </row>
    <row r="18" spans="1:9" x14ac:dyDescent="0.5">
      <c r="A18" s="1">
        <v>45323</v>
      </c>
      <c r="B18">
        <v>1.24936882116097E-2</v>
      </c>
      <c r="C18">
        <v>4861.10986328125</v>
      </c>
      <c r="D18">
        <v>4906.97021484375</v>
      </c>
      <c r="E18">
        <v>4853.52001953125</v>
      </c>
      <c r="F18">
        <v>4906.18994140625</v>
      </c>
      <c r="G18">
        <v>4386090000</v>
      </c>
      <c r="H18">
        <v>0</v>
      </c>
      <c r="I18">
        <v>0</v>
      </c>
    </row>
    <row r="19" spans="1:9" x14ac:dyDescent="0.5">
      <c r="A19" s="1">
        <v>45324</v>
      </c>
      <c r="B19">
        <v>1.0684446077514601E-2</v>
      </c>
      <c r="C19">
        <v>4916.06005859375</v>
      </c>
      <c r="D19">
        <v>4975.2900390625</v>
      </c>
      <c r="E19">
        <v>4907.990234375</v>
      </c>
      <c r="F19">
        <v>4958.60986328125</v>
      </c>
      <c r="G19">
        <v>3974350000</v>
      </c>
      <c r="H19">
        <v>0</v>
      </c>
      <c r="I19">
        <v>0</v>
      </c>
    </row>
    <row r="20" spans="1:9" x14ac:dyDescent="0.5">
      <c r="A20" s="1">
        <v>45327</v>
      </c>
      <c r="B20">
        <v>-3.1863375266721798E-3</v>
      </c>
      <c r="C20">
        <v>4957.18994140625</v>
      </c>
      <c r="D20">
        <v>4957.18994140625</v>
      </c>
      <c r="E20">
        <v>4918.08984375</v>
      </c>
      <c r="F20">
        <v>4942.81005859375</v>
      </c>
      <c r="G20">
        <v>4023640000</v>
      </c>
      <c r="H20">
        <v>0</v>
      </c>
      <c r="I20">
        <v>0</v>
      </c>
    </row>
    <row r="21" spans="1:9" x14ac:dyDescent="0.5">
      <c r="A21" s="1">
        <v>45328</v>
      </c>
      <c r="B21">
        <v>2.3104108269635902E-3</v>
      </c>
      <c r="C21">
        <v>4950.16015625</v>
      </c>
      <c r="D21">
        <v>4957.77001953125</v>
      </c>
      <c r="E21">
        <v>4934.8798828125</v>
      </c>
      <c r="F21">
        <v>4954.22998046875</v>
      </c>
      <c r="G21">
        <v>4440880000</v>
      </c>
      <c r="H21">
        <v>0</v>
      </c>
      <c r="I21">
        <v>0</v>
      </c>
    </row>
    <row r="22" spans="1:9" x14ac:dyDescent="0.5">
      <c r="A22" s="1">
        <v>45329</v>
      </c>
      <c r="B22">
        <v>8.2414579633900403E-3</v>
      </c>
      <c r="C22">
        <v>4973.0498046875</v>
      </c>
      <c r="D22">
        <v>4999.89013671875</v>
      </c>
      <c r="E22">
        <v>4969.0498046875</v>
      </c>
      <c r="F22">
        <v>4995.06005859375</v>
      </c>
      <c r="G22">
        <v>4895590000</v>
      </c>
      <c r="H22">
        <v>0</v>
      </c>
      <c r="I22">
        <v>0</v>
      </c>
    </row>
    <row r="23" spans="1:9" x14ac:dyDescent="0.5">
      <c r="A23" s="1">
        <v>45330</v>
      </c>
      <c r="B23">
        <v>5.70583260825152E-4</v>
      </c>
      <c r="C23">
        <v>4995.16015625</v>
      </c>
      <c r="D23">
        <v>5000.39990234375</v>
      </c>
      <c r="E23">
        <v>4987.08984375</v>
      </c>
      <c r="F23">
        <v>4997.91015625</v>
      </c>
      <c r="G23">
        <v>4341860000</v>
      </c>
      <c r="H23">
        <v>0</v>
      </c>
      <c r="I23">
        <v>0</v>
      </c>
    </row>
    <row r="24" spans="1:9" x14ac:dyDescent="0.5">
      <c r="A24" s="1">
        <v>45331</v>
      </c>
      <c r="B24">
        <v>5.7423415255595201E-3</v>
      </c>
      <c r="C24">
        <v>5004.169921875</v>
      </c>
      <c r="D24">
        <v>5030.06005859375</v>
      </c>
      <c r="E24">
        <v>5000.33984375</v>
      </c>
      <c r="F24">
        <v>5026.60986328125</v>
      </c>
      <c r="G24">
        <v>3912990000</v>
      </c>
      <c r="H24">
        <v>0</v>
      </c>
      <c r="I24">
        <v>0</v>
      </c>
    </row>
    <row r="25" spans="1:9" x14ac:dyDescent="0.5">
      <c r="A25" s="1">
        <v>45334</v>
      </c>
      <c r="B25">
        <v>-9.4895360113267304E-4</v>
      </c>
      <c r="C25">
        <v>5026.830078125</v>
      </c>
      <c r="D25">
        <v>5048.39013671875</v>
      </c>
      <c r="E25">
        <v>5016.830078125</v>
      </c>
      <c r="F25">
        <v>5021.83984375</v>
      </c>
      <c r="G25">
        <v>3805740000</v>
      </c>
      <c r="H25">
        <v>0</v>
      </c>
      <c r="I25">
        <v>0</v>
      </c>
    </row>
    <row r="26" spans="1:9" x14ac:dyDescent="0.5">
      <c r="A26" s="1">
        <v>45335</v>
      </c>
      <c r="B26">
        <v>-1.36742556536254E-2</v>
      </c>
      <c r="C26">
        <v>4967.93994140625</v>
      </c>
      <c r="D26">
        <v>4971.2998046875</v>
      </c>
      <c r="E26">
        <v>4920.31005859375</v>
      </c>
      <c r="F26">
        <v>4953.169921875</v>
      </c>
      <c r="G26">
        <v>4302190000</v>
      </c>
      <c r="H26">
        <v>0</v>
      </c>
      <c r="I26">
        <v>0</v>
      </c>
    </row>
    <row r="27" spans="1:9" x14ac:dyDescent="0.5">
      <c r="A27" s="1">
        <v>45336</v>
      </c>
      <c r="B27">
        <v>9.57976327501763E-3</v>
      </c>
      <c r="C27">
        <v>4976.43994140625</v>
      </c>
      <c r="D27">
        <v>5002.52001953125</v>
      </c>
      <c r="E27">
        <v>4956.4501953125</v>
      </c>
      <c r="F27">
        <v>5000.6201171875</v>
      </c>
      <c r="G27">
        <v>3845600000</v>
      </c>
      <c r="H27">
        <v>0</v>
      </c>
      <c r="I27">
        <v>0</v>
      </c>
    </row>
    <row r="28" spans="1:9" x14ac:dyDescent="0.5">
      <c r="A28" s="1">
        <v>45337</v>
      </c>
      <c r="B28">
        <v>5.8212506847294902E-3</v>
      </c>
      <c r="C28">
        <v>5003.14013671875</v>
      </c>
      <c r="D28">
        <v>5032.72021484375</v>
      </c>
      <c r="E28">
        <v>4999.43994140625</v>
      </c>
      <c r="F28">
        <v>5029.72998046875</v>
      </c>
      <c r="G28">
        <v>4137970000</v>
      </c>
      <c r="H28">
        <v>0</v>
      </c>
      <c r="I28">
        <v>0</v>
      </c>
    </row>
    <row r="29" spans="1:9" x14ac:dyDescent="0.5">
      <c r="A29" s="1">
        <v>45338</v>
      </c>
      <c r="B29">
        <v>-4.8034698371120996E-3</v>
      </c>
      <c r="C29">
        <v>5031.1298828125</v>
      </c>
      <c r="D29">
        <v>5038.7001953125</v>
      </c>
      <c r="E29">
        <v>4999.52001953125</v>
      </c>
      <c r="F29">
        <v>5005.56982421875</v>
      </c>
      <c r="G29">
        <v>3833270000</v>
      </c>
      <c r="H29">
        <v>0</v>
      </c>
      <c r="I29">
        <v>0</v>
      </c>
    </row>
    <row r="30" spans="1:9" x14ac:dyDescent="0.5">
      <c r="A30" s="1">
        <v>45342</v>
      </c>
      <c r="B30">
        <v>-6.00532200116532E-3</v>
      </c>
      <c r="C30">
        <v>4989.31982421875</v>
      </c>
      <c r="D30">
        <v>4993.7099609375</v>
      </c>
      <c r="E30">
        <v>4955.02001953125</v>
      </c>
      <c r="F30">
        <v>4975.509765625</v>
      </c>
      <c r="G30">
        <v>4034880000</v>
      </c>
      <c r="H30">
        <v>0</v>
      </c>
      <c r="I30">
        <v>0</v>
      </c>
    </row>
    <row r="31" spans="1:9" x14ac:dyDescent="0.5">
      <c r="A31" s="1">
        <v>45343</v>
      </c>
      <c r="B31">
        <v>1.2641999229821E-3</v>
      </c>
      <c r="C31">
        <v>4963.02978515625</v>
      </c>
      <c r="D31">
        <v>4983.2099609375</v>
      </c>
      <c r="E31">
        <v>4946</v>
      </c>
      <c r="F31">
        <v>4981.7998046875</v>
      </c>
      <c r="G31">
        <v>3788390000</v>
      </c>
      <c r="H31">
        <v>0</v>
      </c>
      <c r="I31">
        <v>0</v>
      </c>
    </row>
    <row r="32" spans="1:9" x14ac:dyDescent="0.5">
      <c r="A32" s="1">
        <v>45344</v>
      </c>
      <c r="B32">
        <v>2.1122884217414001E-2</v>
      </c>
      <c r="C32">
        <v>5038.830078125</v>
      </c>
      <c r="D32">
        <v>5094.39013671875</v>
      </c>
      <c r="E32">
        <v>5038.830078125</v>
      </c>
      <c r="F32">
        <v>5087.02978515625</v>
      </c>
      <c r="G32">
        <v>4051710000</v>
      </c>
      <c r="H32">
        <v>0</v>
      </c>
      <c r="I32">
        <v>0</v>
      </c>
    </row>
    <row r="33" spans="1:9" x14ac:dyDescent="0.5">
      <c r="A33" s="1">
        <v>45345</v>
      </c>
      <c r="B33">
        <v>3.4794754621159102E-4</v>
      </c>
      <c r="C33">
        <v>5100.919921875</v>
      </c>
      <c r="D33">
        <v>5111.06005859375</v>
      </c>
      <c r="E33">
        <v>5081.4599609375</v>
      </c>
      <c r="F33">
        <v>5088.7998046875</v>
      </c>
      <c r="G33">
        <v>3672790000</v>
      </c>
      <c r="H33">
        <v>0</v>
      </c>
      <c r="I33">
        <v>0</v>
      </c>
    </row>
    <row r="34" spans="1:9" x14ac:dyDescent="0.5">
      <c r="A34" s="1">
        <v>45348</v>
      </c>
      <c r="B34">
        <v>-3.7867513501905702E-3</v>
      </c>
      <c r="C34">
        <v>5093</v>
      </c>
      <c r="D34">
        <v>5097.66015625</v>
      </c>
      <c r="E34">
        <v>5068.91015625</v>
      </c>
      <c r="F34">
        <v>5069.52978515625</v>
      </c>
      <c r="G34">
        <v>3683930000</v>
      </c>
      <c r="H34">
        <v>0</v>
      </c>
      <c r="I34">
        <v>0</v>
      </c>
    </row>
    <row r="35" spans="1:9" x14ac:dyDescent="0.5">
      <c r="A35" s="1">
        <v>45349</v>
      </c>
      <c r="B35">
        <v>1.7063496993998601E-3</v>
      </c>
      <c r="C35">
        <v>5074.60009765625</v>
      </c>
      <c r="D35">
        <v>5080.68994140625</v>
      </c>
      <c r="E35">
        <v>5057.2900390625</v>
      </c>
      <c r="F35">
        <v>5078.18017578125</v>
      </c>
      <c r="G35">
        <v>3925950000</v>
      </c>
      <c r="H35">
        <v>0</v>
      </c>
      <c r="I35">
        <v>0</v>
      </c>
    </row>
    <row r="36" spans="1:9" x14ac:dyDescent="0.5">
      <c r="A36" s="1">
        <v>45350</v>
      </c>
      <c r="B36">
        <v>-1.65815506043054E-3</v>
      </c>
      <c r="C36">
        <v>5067.2001953125</v>
      </c>
      <c r="D36">
        <v>5077.3701171875</v>
      </c>
      <c r="E36">
        <v>5058.35009765625</v>
      </c>
      <c r="F36">
        <v>5069.759765625</v>
      </c>
      <c r="G36">
        <v>3789370000</v>
      </c>
      <c r="H36">
        <v>0</v>
      </c>
      <c r="I36">
        <v>0</v>
      </c>
    </row>
    <row r="37" spans="1:9" x14ac:dyDescent="0.5">
      <c r="A37" s="1">
        <v>45351</v>
      </c>
      <c r="B37">
        <v>5.2290946971491597E-3</v>
      </c>
      <c r="C37">
        <v>5085.35986328125</v>
      </c>
      <c r="D37">
        <v>5104.990234375</v>
      </c>
      <c r="E37">
        <v>5061.89013671875</v>
      </c>
      <c r="F37">
        <v>5096.27001953125</v>
      </c>
      <c r="G37">
        <v>5219740000</v>
      </c>
      <c r="H37">
        <v>0</v>
      </c>
      <c r="I37">
        <v>0</v>
      </c>
    </row>
    <row r="38" spans="1:9" x14ac:dyDescent="0.5">
      <c r="A38" s="1">
        <v>45352</v>
      </c>
      <c r="B38">
        <v>8.0078289488876297E-3</v>
      </c>
      <c r="C38">
        <v>5098.509765625</v>
      </c>
      <c r="D38">
        <v>5140.330078125</v>
      </c>
      <c r="E38">
        <v>5094.16015625</v>
      </c>
      <c r="F38">
        <v>5137.080078125</v>
      </c>
      <c r="G38">
        <v>4748110000</v>
      </c>
      <c r="H38">
        <v>0</v>
      </c>
      <c r="I38">
        <v>0</v>
      </c>
    </row>
    <row r="39" spans="1:9" x14ac:dyDescent="0.5">
      <c r="A39" s="1">
        <v>45355</v>
      </c>
      <c r="B39">
        <v>-1.19326207091896E-3</v>
      </c>
      <c r="C39">
        <v>5130.990234375</v>
      </c>
      <c r="D39">
        <v>5149.669921875</v>
      </c>
      <c r="E39">
        <v>5127.18017578125</v>
      </c>
      <c r="F39">
        <v>5130.9501953125</v>
      </c>
      <c r="G39">
        <v>4758440000</v>
      </c>
      <c r="H39">
        <v>0</v>
      </c>
      <c r="I39">
        <v>0</v>
      </c>
    </row>
    <row r="40" spans="1:9" x14ac:dyDescent="0.5">
      <c r="A40" s="1">
        <v>45356</v>
      </c>
      <c r="B40">
        <v>-1.0193100883444601E-2</v>
      </c>
      <c r="C40">
        <v>5110.52001953125</v>
      </c>
      <c r="D40">
        <v>5114.5400390625</v>
      </c>
      <c r="E40">
        <v>5056.81982421875</v>
      </c>
      <c r="F40">
        <v>5078.64990234375</v>
      </c>
      <c r="G40">
        <v>4418410000</v>
      </c>
      <c r="H40">
        <v>0</v>
      </c>
      <c r="I40">
        <v>0</v>
      </c>
    </row>
    <row r="41" spans="1:9" x14ac:dyDescent="0.5">
      <c r="A41" s="1">
        <v>45357</v>
      </c>
      <c r="B41">
        <v>5.1411032032746499E-3</v>
      </c>
      <c r="C41">
        <v>5108.02978515625</v>
      </c>
      <c r="D41">
        <v>5127.97021484375</v>
      </c>
      <c r="E41">
        <v>5092.22021484375</v>
      </c>
      <c r="F41">
        <v>5104.759765625</v>
      </c>
      <c r="G41">
        <v>4559050000</v>
      </c>
      <c r="H41">
        <v>0</v>
      </c>
      <c r="I41">
        <v>0</v>
      </c>
    </row>
    <row r="42" spans="1:9" x14ac:dyDescent="0.5">
      <c r="A42" s="1">
        <v>45358</v>
      </c>
      <c r="B42">
        <v>1.03041279259514E-2</v>
      </c>
      <c r="C42">
        <v>5132.3798828125</v>
      </c>
      <c r="D42">
        <v>5165.6201171875</v>
      </c>
      <c r="E42">
        <v>5128.2099609375</v>
      </c>
      <c r="F42">
        <v>5157.35986328125</v>
      </c>
      <c r="G42">
        <v>4137980000</v>
      </c>
      <c r="H42">
        <v>0</v>
      </c>
      <c r="I42">
        <v>0</v>
      </c>
    </row>
    <row r="43" spans="1:9" x14ac:dyDescent="0.5">
      <c r="A43" s="1">
        <v>45359</v>
      </c>
      <c r="B43">
        <v>-6.5285190034379799E-3</v>
      </c>
      <c r="C43">
        <v>5164.4599609375</v>
      </c>
      <c r="D43">
        <v>5189.259765625</v>
      </c>
      <c r="E43">
        <v>5117.5</v>
      </c>
      <c r="F43">
        <v>5123.68994140625</v>
      </c>
      <c r="G43">
        <v>4208870000</v>
      </c>
      <c r="H43">
        <v>0</v>
      </c>
      <c r="I43">
        <v>0</v>
      </c>
    </row>
    <row r="44" spans="1:9" x14ac:dyDescent="0.5">
      <c r="A44" s="1">
        <v>45362</v>
      </c>
      <c r="B44">
        <v>-1.1222380873464599E-3</v>
      </c>
      <c r="C44">
        <v>5111.9599609375</v>
      </c>
      <c r="D44">
        <v>5124.66015625</v>
      </c>
      <c r="E44">
        <v>5091.14013671875</v>
      </c>
      <c r="F44">
        <v>5117.93994140625</v>
      </c>
      <c r="G44">
        <v>3896430000</v>
      </c>
      <c r="H44">
        <v>0</v>
      </c>
      <c r="I44">
        <v>0</v>
      </c>
    </row>
    <row r="45" spans="1:9" x14ac:dyDescent="0.5">
      <c r="A45" s="1">
        <v>45363</v>
      </c>
      <c r="B45">
        <v>1.12017879813663E-2</v>
      </c>
      <c r="C45">
        <v>5134.2998046875</v>
      </c>
      <c r="D45">
        <v>5179.8701171875</v>
      </c>
      <c r="E45">
        <v>5114.47998046875</v>
      </c>
      <c r="F45">
        <v>5175.27001953125</v>
      </c>
      <c r="G45">
        <v>4080510000</v>
      </c>
      <c r="H45">
        <v>0</v>
      </c>
      <c r="I45">
        <v>0</v>
      </c>
    </row>
    <row r="46" spans="1:9" x14ac:dyDescent="0.5">
      <c r="A46" s="1">
        <v>45364</v>
      </c>
      <c r="B46">
        <v>-1.9245297153407299E-3</v>
      </c>
      <c r="C46">
        <v>5173.490234375</v>
      </c>
      <c r="D46">
        <v>5179.14013671875</v>
      </c>
      <c r="E46">
        <v>5151.8798828125</v>
      </c>
      <c r="F46">
        <v>5165.31005859375</v>
      </c>
      <c r="G46">
        <v>4282890000</v>
      </c>
      <c r="H46">
        <v>0</v>
      </c>
      <c r="I46">
        <v>0</v>
      </c>
    </row>
    <row r="47" spans="1:9" x14ac:dyDescent="0.5">
      <c r="A47" s="1">
        <v>45365</v>
      </c>
      <c r="B47">
        <v>-2.8710915621273899E-3</v>
      </c>
      <c r="C47">
        <v>5175.14013671875</v>
      </c>
      <c r="D47">
        <v>5176.85009765625</v>
      </c>
      <c r="E47">
        <v>5123.2998046875</v>
      </c>
      <c r="F47">
        <v>5150.47998046875</v>
      </c>
      <c r="G47">
        <v>4687970000</v>
      </c>
      <c r="H47">
        <v>0</v>
      </c>
      <c r="I47">
        <v>0</v>
      </c>
    </row>
    <row r="48" spans="1:9" x14ac:dyDescent="0.5">
      <c r="A48" s="1">
        <v>45366</v>
      </c>
      <c r="B48">
        <v>-6.4829174844614999E-3</v>
      </c>
      <c r="C48">
        <v>5123.31005859375</v>
      </c>
      <c r="D48">
        <v>5136.85986328125</v>
      </c>
      <c r="E48">
        <v>5104.35009765625</v>
      </c>
      <c r="F48">
        <v>5117.08984375</v>
      </c>
      <c r="G48">
        <v>7753670000</v>
      </c>
      <c r="H48">
        <v>0</v>
      </c>
      <c r="I48">
        <v>0</v>
      </c>
    </row>
    <row r="49" spans="1:9" x14ac:dyDescent="0.5">
      <c r="A49" s="1">
        <v>45369</v>
      </c>
      <c r="B49">
        <v>6.3180595049523404E-3</v>
      </c>
      <c r="C49">
        <v>5154.77001953125</v>
      </c>
      <c r="D49">
        <v>5175.60009765625</v>
      </c>
      <c r="E49">
        <v>5145.47021484375</v>
      </c>
      <c r="F49">
        <v>5149.419921875</v>
      </c>
      <c r="G49">
        <v>4036220000</v>
      </c>
      <c r="H49">
        <v>0</v>
      </c>
      <c r="I49">
        <v>0</v>
      </c>
    </row>
    <row r="50" spans="1:9" x14ac:dyDescent="0.5">
      <c r="A50" s="1">
        <v>45370</v>
      </c>
      <c r="B50">
        <v>5.6491496501236398E-3</v>
      </c>
      <c r="C50">
        <v>5139.08984375</v>
      </c>
      <c r="D50">
        <v>5180.31005859375</v>
      </c>
      <c r="E50">
        <v>5131.58984375</v>
      </c>
      <c r="F50">
        <v>5178.509765625</v>
      </c>
      <c r="G50">
        <v>4031760000</v>
      </c>
      <c r="H50">
        <v>0</v>
      </c>
      <c r="I50">
        <v>0</v>
      </c>
    </row>
    <row r="51" spans="1:9" x14ac:dyDescent="0.5">
      <c r="A51" s="1">
        <v>45371</v>
      </c>
      <c r="B51">
        <v>8.9041739128465896E-3</v>
      </c>
      <c r="C51">
        <v>5181.68994140625</v>
      </c>
      <c r="D51">
        <v>5226.18994140625</v>
      </c>
      <c r="E51">
        <v>5171.5498046875</v>
      </c>
      <c r="F51">
        <v>5224.6201171875</v>
      </c>
      <c r="G51">
        <v>4064850000</v>
      </c>
      <c r="H51">
        <v>0</v>
      </c>
      <c r="I51">
        <v>0</v>
      </c>
    </row>
    <row r="52" spans="1:9" x14ac:dyDescent="0.5">
      <c r="A52" s="1">
        <v>45372</v>
      </c>
      <c r="B52">
        <v>3.2365354015160201E-3</v>
      </c>
      <c r="C52">
        <v>5253.43017578125</v>
      </c>
      <c r="D52">
        <v>5261.10009765625</v>
      </c>
      <c r="E52">
        <v>5240.66015625</v>
      </c>
      <c r="F52">
        <v>5241.52978515625</v>
      </c>
      <c r="G52">
        <v>4207730000</v>
      </c>
      <c r="H52">
        <v>0</v>
      </c>
      <c r="I52">
        <v>0</v>
      </c>
    </row>
    <row r="53" spans="1:9" x14ac:dyDescent="0.5">
      <c r="A53" s="1">
        <v>45373</v>
      </c>
      <c r="B53">
        <v>-1.4021878490156901E-3</v>
      </c>
      <c r="C53">
        <v>5242.47998046875</v>
      </c>
      <c r="D53">
        <v>5246.08984375</v>
      </c>
      <c r="E53">
        <v>5229.8701171875</v>
      </c>
      <c r="F53">
        <v>5234.18017578125</v>
      </c>
      <c r="G53">
        <v>3374700000</v>
      </c>
      <c r="H53">
        <v>0</v>
      </c>
      <c r="I53">
        <v>0</v>
      </c>
    </row>
    <row r="54" spans="1:9" x14ac:dyDescent="0.5">
      <c r="A54" s="1">
        <v>45376</v>
      </c>
      <c r="B54">
        <v>-3.0549644525015201E-3</v>
      </c>
      <c r="C54">
        <v>5219.52001953125</v>
      </c>
      <c r="D54">
        <v>5229.08984375</v>
      </c>
      <c r="E54">
        <v>5216.08984375</v>
      </c>
      <c r="F54">
        <v>5218.18994140625</v>
      </c>
      <c r="G54">
        <v>3331360000</v>
      </c>
      <c r="H54">
        <v>0</v>
      </c>
      <c r="I54">
        <v>0</v>
      </c>
    </row>
    <row r="55" spans="1:9" x14ac:dyDescent="0.5">
      <c r="A55" s="1">
        <v>45377</v>
      </c>
      <c r="B55">
        <v>-2.7997952250302599E-3</v>
      </c>
      <c r="C55">
        <v>5228.85009765625</v>
      </c>
      <c r="D55">
        <v>5235.16015625</v>
      </c>
      <c r="E55">
        <v>5203.419921875</v>
      </c>
      <c r="F55">
        <v>5203.580078125</v>
      </c>
      <c r="G55">
        <v>3871790000</v>
      </c>
      <c r="H55">
        <v>0</v>
      </c>
      <c r="I55">
        <v>0</v>
      </c>
    </row>
    <row r="56" spans="1:9" x14ac:dyDescent="0.5">
      <c r="A56" s="1">
        <v>45378</v>
      </c>
      <c r="B56">
        <v>8.6306265255329199E-3</v>
      </c>
      <c r="C56">
        <v>5226.31005859375</v>
      </c>
      <c r="D56">
        <v>5249.259765625</v>
      </c>
      <c r="E56">
        <v>5213.919921875</v>
      </c>
      <c r="F56">
        <v>5248.490234375</v>
      </c>
      <c r="G56">
        <v>3850500000</v>
      </c>
      <c r="H56">
        <v>0</v>
      </c>
      <c r="I56">
        <v>0</v>
      </c>
    </row>
    <row r="57" spans="1:9" x14ac:dyDescent="0.5">
      <c r="A57" s="1">
        <v>45379</v>
      </c>
      <c r="B57">
        <v>1.1164855071790201E-3</v>
      </c>
      <c r="C57">
        <v>5248.02978515625</v>
      </c>
      <c r="D57">
        <v>5264.85009765625</v>
      </c>
      <c r="E57">
        <v>5245.81982421875</v>
      </c>
      <c r="F57">
        <v>5254.35009765625</v>
      </c>
      <c r="G57">
        <v>3998270000</v>
      </c>
      <c r="H57">
        <v>0</v>
      </c>
      <c r="I57">
        <v>0</v>
      </c>
    </row>
    <row r="58" spans="1:9" x14ac:dyDescent="0.5">
      <c r="A58" s="1">
        <v>45383</v>
      </c>
      <c r="B58">
        <v>-2.0135845401164599E-3</v>
      </c>
      <c r="C58">
        <v>5257.97021484375</v>
      </c>
      <c r="D58">
        <v>5263.9501953125</v>
      </c>
      <c r="E58">
        <v>5229.2001953125</v>
      </c>
      <c r="F58">
        <v>5243.77001953125</v>
      </c>
      <c r="G58">
        <v>3325930000</v>
      </c>
      <c r="H58">
        <v>0</v>
      </c>
      <c r="I58">
        <v>0</v>
      </c>
    </row>
    <row r="59" spans="1:9" x14ac:dyDescent="0.5">
      <c r="A59" s="1">
        <v>45384</v>
      </c>
      <c r="B59">
        <v>-7.23905907316912E-3</v>
      </c>
      <c r="C59">
        <v>5204.2900390625</v>
      </c>
      <c r="D59">
        <v>5208.33984375</v>
      </c>
      <c r="E59">
        <v>5184.0498046875</v>
      </c>
      <c r="F59">
        <v>5205.81005859375</v>
      </c>
      <c r="G59">
        <v>3886590000</v>
      </c>
      <c r="H59">
        <v>0</v>
      </c>
      <c r="I59">
        <v>0</v>
      </c>
    </row>
    <row r="60" spans="1:9" x14ac:dyDescent="0.5">
      <c r="A60" s="1">
        <v>45385</v>
      </c>
      <c r="B60">
        <v>1.0911223646881099E-3</v>
      </c>
      <c r="C60">
        <v>5194.3701171875</v>
      </c>
      <c r="D60">
        <v>5228.75</v>
      </c>
      <c r="E60">
        <v>5194.3701171875</v>
      </c>
      <c r="F60">
        <v>5211.490234375</v>
      </c>
      <c r="G60">
        <v>3703250000</v>
      </c>
      <c r="H60">
        <v>0</v>
      </c>
      <c r="I60">
        <v>0</v>
      </c>
    </row>
    <row r="61" spans="1:9" x14ac:dyDescent="0.5">
      <c r="A61" s="1">
        <v>45386</v>
      </c>
      <c r="B61">
        <v>-1.23343363503796E-2</v>
      </c>
      <c r="C61">
        <v>5244.0498046875</v>
      </c>
      <c r="D61">
        <v>5256.58984375</v>
      </c>
      <c r="E61">
        <v>5146.06005859375</v>
      </c>
      <c r="F61">
        <v>5147.2099609375</v>
      </c>
      <c r="G61">
        <v>4075680000</v>
      </c>
      <c r="H61">
        <v>0</v>
      </c>
      <c r="I61">
        <v>0</v>
      </c>
    </row>
    <row r="62" spans="1:9" x14ac:dyDescent="0.5">
      <c r="A62" s="1">
        <v>45387</v>
      </c>
      <c r="B62">
        <v>1.1099194174331599E-2</v>
      </c>
      <c r="C62">
        <v>5158.9501953125</v>
      </c>
      <c r="D62">
        <v>5222.18017578125</v>
      </c>
      <c r="E62">
        <v>5157.2099609375</v>
      </c>
      <c r="F62">
        <v>5204.33984375</v>
      </c>
      <c r="G62">
        <v>3386780000</v>
      </c>
      <c r="H62">
        <v>0</v>
      </c>
      <c r="I62">
        <v>0</v>
      </c>
    </row>
    <row r="63" spans="1:9" x14ac:dyDescent="0.5">
      <c r="A63" s="1">
        <v>45390</v>
      </c>
      <c r="B63">
        <v>-3.7463099831791503E-4</v>
      </c>
      <c r="C63">
        <v>5211.3701171875</v>
      </c>
      <c r="D63">
        <v>5219.56982421875</v>
      </c>
      <c r="E63">
        <v>5197.35009765625</v>
      </c>
      <c r="F63">
        <v>5202.39013671875</v>
      </c>
      <c r="G63">
        <v>3278180000</v>
      </c>
      <c r="H63">
        <v>0</v>
      </c>
      <c r="I63">
        <v>0</v>
      </c>
    </row>
    <row r="64" spans="1:9" x14ac:dyDescent="0.5">
      <c r="A64" s="1">
        <v>45391</v>
      </c>
      <c r="B64" s="28">
        <v>1.4454931932483799E-3</v>
      </c>
      <c r="C64">
        <v>5217.02978515625</v>
      </c>
      <c r="D64">
        <v>5224.81005859375</v>
      </c>
      <c r="E64">
        <v>5160.77978515625</v>
      </c>
      <c r="F64">
        <v>5209.91015625</v>
      </c>
      <c r="G64">
        <v>3400680000</v>
      </c>
      <c r="H64">
        <v>0</v>
      </c>
      <c r="I64">
        <v>0</v>
      </c>
    </row>
    <row r="65" spans="1:9" x14ac:dyDescent="0.5">
      <c r="A65" s="1">
        <v>45392</v>
      </c>
      <c r="B65">
        <v>-9.4569806491084894E-3</v>
      </c>
      <c r="C65">
        <v>5167.8798828125</v>
      </c>
      <c r="D65">
        <v>5178.43017578125</v>
      </c>
      <c r="E65">
        <v>5138.7001953125</v>
      </c>
      <c r="F65">
        <v>5160.64013671875</v>
      </c>
      <c r="G65">
        <v>3845930000</v>
      </c>
      <c r="H65">
        <v>0</v>
      </c>
      <c r="I65">
        <v>0</v>
      </c>
    </row>
    <row r="66" spans="1:9" x14ac:dyDescent="0.5">
      <c r="A66" s="1">
        <v>45393</v>
      </c>
      <c r="B66">
        <v>7.4447977105855899E-3</v>
      </c>
      <c r="C66">
        <v>5172.9501953125</v>
      </c>
      <c r="D66">
        <v>5211.77978515625</v>
      </c>
      <c r="E66">
        <v>5138.77001953125</v>
      </c>
      <c r="F66">
        <v>5199.06005859375</v>
      </c>
      <c r="G66">
        <v>3509380000</v>
      </c>
      <c r="H66">
        <v>0</v>
      </c>
      <c r="I66">
        <v>0</v>
      </c>
    </row>
    <row r="67" spans="1:9" x14ac:dyDescent="0.5">
      <c r="A67" s="1">
        <v>45394</v>
      </c>
      <c r="B67" s="28">
        <v>-1.4550688295801599E-2</v>
      </c>
      <c r="C67">
        <v>5171.509765625</v>
      </c>
      <c r="D67">
        <v>5175.02978515625</v>
      </c>
      <c r="E67">
        <v>5107.93994140625</v>
      </c>
      <c r="F67">
        <v>5123.41015625</v>
      </c>
      <c r="G67">
        <v>3963220000</v>
      </c>
      <c r="H67">
        <v>0</v>
      </c>
      <c r="I67">
        <v>0</v>
      </c>
    </row>
    <row r="68" spans="1:9" x14ac:dyDescent="0.5">
      <c r="A68" s="1">
        <v>45397</v>
      </c>
      <c r="B68">
        <v>-1.2021354947762001E-2</v>
      </c>
      <c r="C68">
        <v>5149.669921875</v>
      </c>
      <c r="D68">
        <v>5168.43017578125</v>
      </c>
      <c r="E68">
        <v>5052.47021484375</v>
      </c>
      <c r="F68">
        <v>5061.81982421875</v>
      </c>
      <c r="G68">
        <v>3950210000</v>
      </c>
      <c r="H68">
        <v>0</v>
      </c>
      <c r="I68">
        <v>0</v>
      </c>
    </row>
    <row r="69" spans="1:9" x14ac:dyDescent="0.5">
      <c r="A69" s="1">
        <v>45398</v>
      </c>
      <c r="B69">
        <v>-2.0565070133361498E-3</v>
      </c>
      <c r="C69">
        <v>5064.58984375</v>
      </c>
      <c r="D69">
        <v>5079.83984375</v>
      </c>
      <c r="E69">
        <v>5039.830078125</v>
      </c>
      <c r="F69">
        <v>5051.41015625</v>
      </c>
      <c r="G69">
        <v>4006200000</v>
      </c>
      <c r="H69">
        <v>0</v>
      </c>
      <c r="I69">
        <v>0</v>
      </c>
    </row>
    <row r="70" spans="1:9" x14ac:dyDescent="0.5">
      <c r="A70" s="1">
        <v>45399</v>
      </c>
      <c r="B70" s="28">
        <v>-5.7806027246414199E-3</v>
      </c>
      <c r="C70">
        <v>5068.97021484375</v>
      </c>
      <c r="D70">
        <v>5077.9599609375</v>
      </c>
      <c r="E70">
        <v>5007.25</v>
      </c>
      <c r="F70">
        <v>5022.2099609375</v>
      </c>
      <c r="G70">
        <v>3596130000</v>
      </c>
      <c r="H70">
        <v>0</v>
      </c>
      <c r="I70">
        <v>0</v>
      </c>
    </row>
    <row r="71" spans="1:9" x14ac:dyDescent="0.5">
      <c r="A71" s="1">
        <v>45400</v>
      </c>
      <c r="B71">
        <v>-2.2081601199982399E-3</v>
      </c>
      <c r="C71">
        <v>5031.52001953125</v>
      </c>
      <c r="D71">
        <v>5056.66015625</v>
      </c>
      <c r="E71">
        <v>5001.89013671875</v>
      </c>
      <c r="F71">
        <v>5011.1201171875</v>
      </c>
      <c r="G71">
        <v>3619760000</v>
      </c>
      <c r="H71">
        <v>0</v>
      </c>
      <c r="I71">
        <v>0</v>
      </c>
    </row>
    <row r="72" spans="1:9" x14ac:dyDescent="0.5">
      <c r="A72" s="1">
        <v>45401</v>
      </c>
      <c r="B72">
        <v>-8.7585481274361499E-3</v>
      </c>
      <c r="C72">
        <v>5005.43994140625</v>
      </c>
      <c r="D72">
        <v>5019.02001953125</v>
      </c>
      <c r="E72">
        <v>4953.56005859375</v>
      </c>
      <c r="F72">
        <v>4967.22998046875</v>
      </c>
      <c r="G72">
        <v>3878750000</v>
      </c>
      <c r="H72">
        <v>0</v>
      </c>
      <c r="I72">
        <v>0</v>
      </c>
    </row>
    <row r="73" spans="1:9" x14ac:dyDescent="0.5">
      <c r="A73" s="1">
        <v>45404</v>
      </c>
      <c r="B73" s="28">
        <v>8.7312480714667393E-3</v>
      </c>
      <c r="C73">
        <v>4987.330078125</v>
      </c>
      <c r="D73">
        <v>5038.83984375</v>
      </c>
      <c r="E73">
        <v>4969.39990234375</v>
      </c>
      <c r="F73">
        <v>5010.60009765625</v>
      </c>
      <c r="G73">
        <v>3820250000</v>
      </c>
      <c r="H73">
        <v>0</v>
      </c>
      <c r="I73">
        <v>0</v>
      </c>
    </row>
    <row r="74" spans="1:9" x14ac:dyDescent="0.5">
      <c r="A74" s="1">
        <v>45405</v>
      </c>
      <c r="B74">
        <v>1.19645762708726E-2</v>
      </c>
      <c r="C74">
        <v>5028.85009765625</v>
      </c>
      <c r="D74">
        <v>5076.1201171875</v>
      </c>
      <c r="E74">
        <v>5027.9599609375</v>
      </c>
      <c r="F74">
        <v>5070.5498046875</v>
      </c>
      <c r="G74">
        <v>3751400000</v>
      </c>
      <c r="H74">
        <v>0</v>
      </c>
      <c r="I74">
        <v>0</v>
      </c>
    </row>
    <row r="75" spans="1:9" x14ac:dyDescent="0.5">
      <c r="A75" s="1">
        <v>45406</v>
      </c>
      <c r="B75">
        <v>2.1301006135487899E-4</v>
      </c>
      <c r="C75">
        <v>5084.85986328125</v>
      </c>
      <c r="D75">
        <v>5089.47998046875</v>
      </c>
      <c r="E75">
        <v>5047.02001953125</v>
      </c>
      <c r="F75">
        <v>5071.6298828125</v>
      </c>
      <c r="G75">
        <v>3656740000</v>
      </c>
      <c r="H75">
        <v>0</v>
      </c>
      <c r="I75">
        <v>0</v>
      </c>
    </row>
    <row r="76" spans="1:9" x14ac:dyDescent="0.5">
      <c r="A76" s="1">
        <v>45407</v>
      </c>
      <c r="B76">
        <v>-4.5764303535156198E-3</v>
      </c>
      <c r="C76">
        <v>5019.8798828125</v>
      </c>
      <c r="D76">
        <v>5057.75</v>
      </c>
      <c r="E76">
        <v>4990.580078125</v>
      </c>
      <c r="F76">
        <v>5048.419921875</v>
      </c>
      <c r="G76">
        <v>3958050000</v>
      </c>
      <c r="H76">
        <v>0</v>
      </c>
      <c r="I76">
        <v>0</v>
      </c>
    </row>
    <row r="77" spans="1:9" x14ac:dyDescent="0.5">
      <c r="A77" s="1">
        <v>45408</v>
      </c>
      <c r="B77">
        <v>1.0209142634743E-2</v>
      </c>
      <c r="C77">
        <v>5084.64990234375</v>
      </c>
      <c r="D77">
        <v>5114.6201171875</v>
      </c>
      <c r="E77">
        <v>5073.14013671875</v>
      </c>
      <c r="F77">
        <v>5099.9599609375</v>
      </c>
      <c r="G77">
        <v>3604140000</v>
      </c>
      <c r="H77">
        <v>0</v>
      </c>
      <c r="I77">
        <v>0</v>
      </c>
    </row>
    <row r="78" spans="1:9" x14ac:dyDescent="0.5">
      <c r="A78" s="1">
        <v>45411</v>
      </c>
      <c r="B78">
        <v>3.1784486665891098E-3</v>
      </c>
      <c r="C78">
        <v>5114.1298828125</v>
      </c>
      <c r="D78">
        <v>5123.490234375</v>
      </c>
      <c r="E78">
        <v>5088.64990234375</v>
      </c>
      <c r="F78">
        <v>5116.169921875</v>
      </c>
      <c r="G78">
        <v>3447450000</v>
      </c>
      <c r="H78">
        <v>0</v>
      </c>
      <c r="I78">
        <v>0</v>
      </c>
    </row>
    <row r="79" spans="1:9" x14ac:dyDescent="0.5">
      <c r="A79" s="1">
        <v>45412</v>
      </c>
      <c r="B79">
        <v>-1.5730513586862099E-2</v>
      </c>
      <c r="C79">
        <v>5103.77978515625</v>
      </c>
      <c r="D79">
        <v>5110.830078125</v>
      </c>
      <c r="E79">
        <v>5035.31005859375</v>
      </c>
      <c r="F79">
        <v>5035.68994140625</v>
      </c>
      <c r="G79">
        <v>4082470000</v>
      </c>
      <c r="H79">
        <v>0</v>
      </c>
      <c r="I79">
        <v>0</v>
      </c>
    </row>
    <row r="80" spans="1:9" x14ac:dyDescent="0.5">
      <c r="A80" s="1">
        <v>45413</v>
      </c>
      <c r="B80">
        <v>-3.4354388154940099E-3</v>
      </c>
      <c r="C80">
        <v>5029.02978515625</v>
      </c>
      <c r="D80">
        <v>5096.1201171875</v>
      </c>
      <c r="E80">
        <v>5013.4501953125</v>
      </c>
      <c r="F80">
        <v>5018.39013671875</v>
      </c>
      <c r="G80">
        <v>4544170000</v>
      </c>
      <c r="H80">
        <v>0</v>
      </c>
      <c r="I80">
        <v>0</v>
      </c>
    </row>
    <row r="81" spans="1:9" x14ac:dyDescent="0.5">
      <c r="A81" s="1">
        <v>45414</v>
      </c>
      <c r="B81">
        <v>9.1284370775730397E-3</v>
      </c>
      <c r="C81">
        <v>5049.31982421875</v>
      </c>
      <c r="D81">
        <v>5073.2099609375</v>
      </c>
      <c r="E81">
        <v>5011.0498046875</v>
      </c>
      <c r="F81">
        <v>5064.2001953125</v>
      </c>
      <c r="G81">
        <v>4381660000</v>
      </c>
      <c r="H81">
        <v>0</v>
      </c>
      <c r="I81">
        <v>0</v>
      </c>
    </row>
    <row r="82" spans="1:9" x14ac:dyDescent="0.5">
      <c r="A82" s="1">
        <v>45415</v>
      </c>
      <c r="B82">
        <v>1.2556739721478499E-2</v>
      </c>
      <c r="C82">
        <v>5122.77978515625</v>
      </c>
      <c r="D82">
        <v>5139.1201171875</v>
      </c>
      <c r="E82">
        <v>5101.22021484375</v>
      </c>
      <c r="F82">
        <v>5127.7900390625</v>
      </c>
      <c r="G82">
        <v>3924990000</v>
      </c>
      <c r="H82">
        <v>0</v>
      </c>
      <c r="I82">
        <v>0</v>
      </c>
    </row>
    <row r="83" spans="1:9" x14ac:dyDescent="0.5">
      <c r="A83" s="1">
        <v>45418</v>
      </c>
      <c r="B83">
        <v>1.03261239070118E-2</v>
      </c>
      <c r="C83">
        <v>5142.419921875</v>
      </c>
      <c r="D83">
        <v>5181</v>
      </c>
      <c r="E83">
        <v>5142.419921875</v>
      </c>
      <c r="F83">
        <v>5180.740234375</v>
      </c>
      <c r="G83">
        <v>3683250000</v>
      </c>
      <c r="H83">
        <v>0</v>
      </c>
      <c r="I83">
        <v>0</v>
      </c>
    </row>
    <row r="84" spans="1:9" x14ac:dyDescent="0.5">
      <c r="A84" s="1">
        <v>45419</v>
      </c>
      <c r="B84">
        <v>1.34342982327506E-3</v>
      </c>
      <c r="C84">
        <v>5187.2001953125</v>
      </c>
      <c r="D84">
        <v>5200.22998046875</v>
      </c>
      <c r="E84">
        <v>5178.9599609375</v>
      </c>
      <c r="F84">
        <v>5187.7001953125</v>
      </c>
      <c r="G84">
        <v>3987890000</v>
      </c>
      <c r="H84">
        <v>0</v>
      </c>
      <c r="I84">
        <v>0</v>
      </c>
    </row>
    <row r="85" spans="1:9" x14ac:dyDescent="0.5">
      <c r="A85" s="1">
        <v>45420</v>
      </c>
      <c r="B85" s="28">
        <v>-5.8356181661389699E-6</v>
      </c>
      <c r="C85">
        <v>5168.97998046875</v>
      </c>
      <c r="D85">
        <v>5191.9501953125</v>
      </c>
      <c r="E85">
        <v>5165.85986328125</v>
      </c>
      <c r="F85">
        <v>5187.669921875</v>
      </c>
      <c r="G85">
        <v>3842100000</v>
      </c>
      <c r="H85">
        <v>0</v>
      </c>
      <c r="I85">
        <v>0</v>
      </c>
    </row>
    <row r="86" spans="1:9" x14ac:dyDescent="0.5">
      <c r="A86" s="1">
        <v>45421</v>
      </c>
      <c r="B86">
        <v>5.0909476986258301E-3</v>
      </c>
      <c r="C86">
        <v>5189.02978515625</v>
      </c>
      <c r="D86">
        <v>5215.2998046875</v>
      </c>
      <c r="E86">
        <v>5180.41015625</v>
      </c>
      <c r="F86">
        <v>5214.080078125</v>
      </c>
      <c r="G86">
        <v>3727370000</v>
      </c>
      <c r="H86">
        <v>0</v>
      </c>
      <c r="I86">
        <v>0</v>
      </c>
    </row>
    <row r="87" spans="1:9" x14ac:dyDescent="0.5">
      <c r="A87" s="1">
        <v>45422</v>
      </c>
      <c r="B87" s="28">
        <v>1.6493988445498401E-3</v>
      </c>
      <c r="C87">
        <v>5225.490234375</v>
      </c>
      <c r="D87">
        <v>5239.66015625</v>
      </c>
      <c r="E87">
        <v>5209.68017578125</v>
      </c>
      <c r="F87">
        <v>5222.68017578125</v>
      </c>
      <c r="G87">
        <v>3617900000</v>
      </c>
      <c r="H87">
        <v>0</v>
      </c>
      <c r="I87">
        <v>0</v>
      </c>
    </row>
    <row r="88" spans="1:9" x14ac:dyDescent="0.5">
      <c r="A88" s="1">
        <v>45425</v>
      </c>
      <c r="B88">
        <v>-2.4130405535727201E-4</v>
      </c>
      <c r="C88">
        <v>5233.080078125</v>
      </c>
      <c r="D88">
        <v>5237.259765625</v>
      </c>
      <c r="E88">
        <v>5211.16015625</v>
      </c>
      <c r="F88">
        <v>5221.419921875</v>
      </c>
      <c r="G88">
        <v>4255710000</v>
      </c>
      <c r="H88">
        <v>0</v>
      </c>
      <c r="I88">
        <v>0</v>
      </c>
    </row>
    <row r="89" spans="1:9" x14ac:dyDescent="0.5">
      <c r="A89" s="1">
        <v>45426</v>
      </c>
      <c r="B89">
        <v>4.8378131397597201E-3</v>
      </c>
      <c r="C89">
        <v>5221.10009765625</v>
      </c>
      <c r="D89">
        <v>5250.3701171875</v>
      </c>
      <c r="E89">
        <v>5217.97998046875</v>
      </c>
      <c r="F89">
        <v>5246.68017578125</v>
      </c>
      <c r="G89">
        <v>4763580000</v>
      </c>
      <c r="H89">
        <v>0</v>
      </c>
      <c r="I89">
        <v>0</v>
      </c>
    </row>
    <row r="90" spans="1:9" x14ac:dyDescent="0.5">
      <c r="A90" s="1">
        <v>45427</v>
      </c>
      <c r="B90">
        <v>1.17159278825962E-2</v>
      </c>
      <c r="C90">
        <v>5263.259765625</v>
      </c>
      <c r="D90">
        <v>5311.759765625</v>
      </c>
      <c r="E90">
        <v>5263.259765625</v>
      </c>
      <c r="F90">
        <v>5308.14990234375</v>
      </c>
      <c r="G90">
        <v>4360810000</v>
      </c>
      <c r="H90">
        <v>0</v>
      </c>
      <c r="I90">
        <v>0</v>
      </c>
    </row>
    <row r="91" spans="1:9" x14ac:dyDescent="0.5">
      <c r="A91" s="1">
        <v>45428</v>
      </c>
      <c r="B91">
        <v>-2.0816677921287E-3</v>
      </c>
      <c r="C91">
        <v>5310.06982421875</v>
      </c>
      <c r="D91">
        <v>5325.490234375</v>
      </c>
      <c r="E91">
        <v>5296.18994140625</v>
      </c>
      <c r="F91">
        <v>5297.10009765625</v>
      </c>
      <c r="G91">
        <v>3817470000</v>
      </c>
      <c r="H91">
        <v>0</v>
      </c>
      <c r="I91">
        <v>0</v>
      </c>
    </row>
    <row r="92" spans="1:9" x14ac:dyDescent="0.5">
      <c r="A92" s="1">
        <v>45429</v>
      </c>
      <c r="B92">
        <v>1.16477351027022E-3</v>
      </c>
      <c r="C92">
        <v>5303.10009765625</v>
      </c>
      <c r="D92">
        <v>5305.4501953125</v>
      </c>
      <c r="E92">
        <v>5283.58984375</v>
      </c>
      <c r="F92">
        <v>5303.27001953125</v>
      </c>
      <c r="G92">
        <v>3578120000</v>
      </c>
      <c r="H92">
        <v>0</v>
      </c>
      <c r="I92">
        <v>0</v>
      </c>
    </row>
    <row r="93" spans="1:9" x14ac:dyDescent="0.5">
      <c r="A93" s="1">
        <v>45432</v>
      </c>
      <c r="B93">
        <v>9.1638993740694697E-4</v>
      </c>
      <c r="C93">
        <v>5305.35009765625</v>
      </c>
      <c r="D93">
        <v>5325.31982421875</v>
      </c>
      <c r="E93">
        <v>5302.39990234375</v>
      </c>
      <c r="F93">
        <v>5308.1298828125</v>
      </c>
      <c r="G93">
        <v>3420100000</v>
      </c>
      <c r="H93">
        <v>0</v>
      </c>
      <c r="I93">
        <v>0</v>
      </c>
    </row>
    <row r="94" spans="1:9" x14ac:dyDescent="0.5">
      <c r="A94" s="1">
        <v>45433</v>
      </c>
      <c r="B94">
        <v>2.50187424397818E-3</v>
      </c>
      <c r="C94">
        <v>5298.68994140625</v>
      </c>
      <c r="D94">
        <v>5324.31982421875</v>
      </c>
      <c r="E94">
        <v>5297.8701171875</v>
      </c>
      <c r="F94">
        <v>5321.41015625</v>
      </c>
      <c r="G94">
        <v>3662240000</v>
      </c>
      <c r="H94">
        <v>0</v>
      </c>
      <c r="I94">
        <v>0</v>
      </c>
    </row>
    <row r="95" spans="1:9" x14ac:dyDescent="0.5">
      <c r="A95" s="1">
        <v>45434</v>
      </c>
      <c r="B95">
        <v>-2.7061230392261201E-3</v>
      </c>
      <c r="C95">
        <v>5319.27978515625</v>
      </c>
      <c r="D95">
        <v>5323.18017578125</v>
      </c>
      <c r="E95">
        <v>5286.009765625</v>
      </c>
      <c r="F95">
        <v>5307.009765625</v>
      </c>
      <c r="G95">
        <v>3847130000</v>
      </c>
      <c r="H95">
        <v>0</v>
      </c>
      <c r="I95">
        <v>0</v>
      </c>
    </row>
    <row r="96" spans="1:9" x14ac:dyDescent="0.5">
      <c r="A96" s="1">
        <v>45435</v>
      </c>
      <c r="B96">
        <v>-7.3807894850155204E-3</v>
      </c>
      <c r="C96">
        <v>5340.259765625</v>
      </c>
      <c r="D96">
        <v>5341.8798828125</v>
      </c>
      <c r="E96">
        <v>5256.93017578125</v>
      </c>
      <c r="F96">
        <v>5267.83984375</v>
      </c>
      <c r="G96">
        <v>3869520000</v>
      </c>
      <c r="H96">
        <v>0</v>
      </c>
      <c r="I96">
        <v>0</v>
      </c>
    </row>
    <row r="97" spans="1:9" x14ac:dyDescent="0.5">
      <c r="A97" s="1">
        <v>45436</v>
      </c>
      <c r="B97">
        <v>7.0010425881694696E-3</v>
      </c>
      <c r="C97">
        <v>5281.4501953125</v>
      </c>
      <c r="D97">
        <v>5311.64990234375</v>
      </c>
      <c r="E97">
        <v>5278.39013671875</v>
      </c>
      <c r="F97">
        <v>5304.72021484375</v>
      </c>
      <c r="G97">
        <v>3005510000</v>
      </c>
      <c r="H97">
        <v>0</v>
      </c>
      <c r="I97">
        <v>0</v>
      </c>
    </row>
    <row r="98" spans="1:9" x14ac:dyDescent="0.5">
      <c r="A98" s="1">
        <v>45440</v>
      </c>
      <c r="B98" s="28">
        <v>2.4880185293407698E-4</v>
      </c>
      <c r="C98">
        <v>5315.91015625</v>
      </c>
      <c r="D98">
        <v>5315.91015625</v>
      </c>
      <c r="E98">
        <v>5280.89013671875</v>
      </c>
      <c r="F98">
        <v>5306.0400390625</v>
      </c>
      <c r="G98">
        <v>3751540000</v>
      </c>
      <c r="H98">
        <v>0</v>
      </c>
      <c r="I98">
        <v>0</v>
      </c>
    </row>
    <row r="99" spans="1:9" x14ac:dyDescent="0.5">
      <c r="A99" s="1">
        <v>45441</v>
      </c>
      <c r="B99">
        <v>-7.3670465096804501E-3</v>
      </c>
      <c r="C99">
        <v>5278.72998046875</v>
      </c>
      <c r="D99">
        <v>5282.27001953125</v>
      </c>
      <c r="E99">
        <v>5262.7001953125</v>
      </c>
      <c r="F99">
        <v>5266.9501953125</v>
      </c>
      <c r="G99">
        <v>3552750000</v>
      </c>
      <c r="H99">
        <v>0</v>
      </c>
      <c r="I99">
        <v>0</v>
      </c>
    </row>
    <row r="100" spans="1:9" x14ac:dyDescent="0.5">
      <c r="A100" s="1">
        <v>45442</v>
      </c>
      <c r="B100">
        <v>-5.9750355854433198E-3</v>
      </c>
      <c r="C100">
        <v>5259.77001953125</v>
      </c>
      <c r="D100">
        <v>5260.2099609375</v>
      </c>
      <c r="E100">
        <v>5222.10009765625</v>
      </c>
      <c r="F100">
        <v>5235.47998046875</v>
      </c>
      <c r="G100">
        <v>3818750000</v>
      </c>
      <c r="H100">
        <v>0</v>
      </c>
      <c r="I100">
        <v>0</v>
      </c>
    </row>
    <row r="101" spans="1:9" x14ac:dyDescent="0.5">
      <c r="A101" s="1">
        <v>45443</v>
      </c>
      <c r="B101" s="28">
        <v>8.0278762048646701E-3</v>
      </c>
      <c r="C101">
        <v>5243.2099609375</v>
      </c>
      <c r="D101">
        <v>5280.330078125</v>
      </c>
      <c r="E101">
        <v>5191.68017578125</v>
      </c>
      <c r="F101">
        <v>5277.509765625</v>
      </c>
      <c r="G101">
        <v>5437160000</v>
      </c>
      <c r="H101">
        <v>0</v>
      </c>
      <c r="I101">
        <v>0</v>
      </c>
    </row>
    <row r="102" spans="1:9" x14ac:dyDescent="0.5">
      <c r="A102" s="1">
        <v>45446</v>
      </c>
      <c r="B102">
        <v>1.11608258067374E-3</v>
      </c>
      <c r="C102">
        <v>5297.14990234375</v>
      </c>
      <c r="D102">
        <v>5302.10986328125</v>
      </c>
      <c r="E102">
        <v>5234.31982421875</v>
      </c>
      <c r="F102">
        <v>5283.39990234375</v>
      </c>
      <c r="G102">
        <v>4046920000</v>
      </c>
      <c r="H102">
        <v>0</v>
      </c>
      <c r="I102">
        <v>0</v>
      </c>
    </row>
    <row r="103" spans="1:9" x14ac:dyDescent="0.5">
      <c r="A103" s="1">
        <v>45447</v>
      </c>
      <c r="B103">
        <v>1.50280909130651E-3</v>
      </c>
      <c r="C103">
        <v>5278.240234375</v>
      </c>
      <c r="D103">
        <v>5298.7998046875</v>
      </c>
      <c r="E103">
        <v>5257.6298828125</v>
      </c>
      <c r="F103">
        <v>5291.33984375</v>
      </c>
      <c r="G103">
        <v>3707900000</v>
      </c>
      <c r="H103">
        <v>0</v>
      </c>
      <c r="I103">
        <v>0</v>
      </c>
    </row>
    <row r="104" spans="1:9" x14ac:dyDescent="0.5">
      <c r="A104" s="1">
        <v>45448</v>
      </c>
      <c r="B104">
        <v>1.18476497933313E-2</v>
      </c>
      <c r="C104">
        <v>5314.47998046875</v>
      </c>
      <c r="D104">
        <v>5354.16015625</v>
      </c>
      <c r="E104">
        <v>5297.64013671875</v>
      </c>
      <c r="F104">
        <v>5354.02978515625</v>
      </c>
      <c r="G104">
        <v>3591460000</v>
      </c>
      <c r="H104">
        <v>0</v>
      </c>
      <c r="I104">
        <v>0</v>
      </c>
    </row>
    <row r="105" spans="1:9" x14ac:dyDescent="0.5">
      <c r="A105" s="1">
        <v>45449</v>
      </c>
      <c r="B105">
        <v>-1.9981663563317599E-4</v>
      </c>
      <c r="C105">
        <v>5357.7998046875</v>
      </c>
      <c r="D105">
        <v>5362.35009765625</v>
      </c>
      <c r="E105">
        <v>5335.35986328125</v>
      </c>
      <c r="F105">
        <v>5352.9599609375</v>
      </c>
      <c r="G105">
        <v>3609990000</v>
      </c>
      <c r="H105">
        <v>0</v>
      </c>
      <c r="I105">
        <v>0</v>
      </c>
    </row>
    <row r="106" spans="1:9" x14ac:dyDescent="0.5">
      <c r="A106" s="1">
        <v>45450</v>
      </c>
      <c r="B106">
        <v>-1.1152197300303699E-3</v>
      </c>
      <c r="C106">
        <v>5343.81005859375</v>
      </c>
      <c r="D106">
        <v>5375.080078125</v>
      </c>
      <c r="E106">
        <v>5331.330078125</v>
      </c>
      <c r="F106">
        <v>5346.990234375</v>
      </c>
      <c r="G106">
        <v>3692760000</v>
      </c>
      <c r="H106">
        <v>0</v>
      </c>
      <c r="I106">
        <v>0</v>
      </c>
    </row>
    <row r="107" spans="1:9" x14ac:dyDescent="0.5">
      <c r="A107" s="1">
        <v>45453</v>
      </c>
      <c r="B107">
        <v>2.5808546645145198E-3</v>
      </c>
      <c r="C107">
        <v>5341.22021484375</v>
      </c>
      <c r="D107">
        <v>5365.7900390625</v>
      </c>
      <c r="E107">
        <v>5331.52001953125</v>
      </c>
      <c r="F107">
        <v>5360.7900390625</v>
      </c>
      <c r="G107">
        <v>3622280000</v>
      </c>
      <c r="H107">
        <v>0</v>
      </c>
      <c r="I107">
        <v>0</v>
      </c>
    </row>
    <row r="108" spans="1:9" x14ac:dyDescent="0.5">
      <c r="A108" s="1">
        <v>45454</v>
      </c>
      <c r="B108">
        <v>2.71038131513745E-3</v>
      </c>
      <c r="C108">
        <v>5353</v>
      </c>
      <c r="D108">
        <v>5375.9501953125</v>
      </c>
      <c r="E108">
        <v>5327.25</v>
      </c>
      <c r="F108">
        <v>5375.31982421875</v>
      </c>
      <c r="G108">
        <v>3568030000</v>
      </c>
      <c r="H108">
        <v>0</v>
      </c>
      <c r="I108">
        <v>0</v>
      </c>
    </row>
    <row r="109" spans="1:9" x14ac:dyDescent="0.5">
      <c r="A109" s="1">
        <v>45455</v>
      </c>
      <c r="B109">
        <v>8.5036727919986996E-3</v>
      </c>
      <c r="C109">
        <v>5409.1298828125</v>
      </c>
      <c r="D109">
        <v>5447.25</v>
      </c>
      <c r="E109">
        <v>5409.1298828125</v>
      </c>
      <c r="F109">
        <v>5421.02978515625</v>
      </c>
      <c r="G109">
        <v>3962840000</v>
      </c>
      <c r="H109">
        <v>0</v>
      </c>
      <c r="I109">
        <v>0</v>
      </c>
    </row>
    <row r="110" spans="1:9" x14ac:dyDescent="0.5">
      <c r="A110" s="1">
        <v>45456</v>
      </c>
      <c r="B110">
        <v>2.3446558536817002E-3</v>
      </c>
      <c r="C110">
        <v>5441.93017578125</v>
      </c>
      <c r="D110">
        <v>5441.93017578125</v>
      </c>
      <c r="E110">
        <v>5402.509765625</v>
      </c>
      <c r="F110">
        <v>5433.740234375</v>
      </c>
      <c r="G110">
        <v>3530380000</v>
      </c>
      <c r="H110">
        <v>0</v>
      </c>
      <c r="I110">
        <v>0</v>
      </c>
    </row>
    <row r="111" spans="1:9" x14ac:dyDescent="0.5">
      <c r="A111" s="1">
        <v>45457</v>
      </c>
      <c r="B111">
        <v>-3.9386069750091401E-4</v>
      </c>
      <c r="C111">
        <v>5424.080078125</v>
      </c>
      <c r="D111">
        <v>5432.39013671875</v>
      </c>
      <c r="E111">
        <v>5403.75</v>
      </c>
      <c r="F111">
        <v>5431.60009765625</v>
      </c>
      <c r="G111">
        <v>3438650000</v>
      </c>
      <c r="H111">
        <v>0</v>
      </c>
      <c r="I111">
        <v>0</v>
      </c>
    </row>
    <row r="112" spans="1:9" x14ac:dyDescent="0.5">
      <c r="A112" s="1">
        <v>45460</v>
      </c>
      <c r="B112">
        <v>7.6643865645527002E-3</v>
      </c>
      <c r="C112">
        <v>5431.10986328125</v>
      </c>
      <c r="D112">
        <v>5488.5</v>
      </c>
      <c r="E112">
        <v>5420.39990234375</v>
      </c>
      <c r="F112">
        <v>5473.22998046875</v>
      </c>
      <c r="G112">
        <v>3447840000</v>
      </c>
      <c r="H112">
        <v>0</v>
      </c>
      <c r="I112">
        <v>0</v>
      </c>
    </row>
    <row r="113" spans="1:9" x14ac:dyDescent="0.5">
      <c r="A113" s="1">
        <v>45461</v>
      </c>
      <c r="B113">
        <v>2.5213273947457498E-3</v>
      </c>
      <c r="C113">
        <v>5476.14990234375</v>
      </c>
      <c r="D113">
        <v>5490.3798828125</v>
      </c>
      <c r="E113">
        <v>5471.31982421875</v>
      </c>
      <c r="F113">
        <v>5487.02978515625</v>
      </c>
      <c r="G113">
        <v>3544330000</v>
      </c>
      <c r="H113">
        <v>0</v>
      </c>
      <c r="I113">
        <v>0</v>
      </c>
    </row>
    <row r="114" spans="1:9" x14ac:dyDescent="0.5">
      <c r="A114" s="1">
        <v>45463</v>
      </c>
      <c r="B114">
        <v>-2.5259318472709001E-3</v>
      </c>
      <c r="C114">
        <v>5499.990234375</v>
      </c>
      <c r="D114">
        <v>5505.52978515625</v>
      </c>
      <c r="E114">
        <v>5455.56005859375</v>
      </c>
      <c r="F114">
        <v>5473.169921875</v>
      </c>
      <c r="G114">
        <v>3847060000</v>
      </c>
      <c r="H114">
        <v>0</v>
      </c>
      <c r="I114">
        <v>0</v>
      </c>
    </row>
    <row r="115" spans="1:9" x14ac:dyDescent="0.5">
      <c r="A115" s="1">
        <v>45464</v>
      </c>
      <c r="B115">
        <v>-1.56213032110119E-3</v>
      </c>
      <c r="C115">
        <v>5466.77001953125</v>
      </c>
      <c r="D115">
        <v>5478.31005859375</v>
      </c>
      <c r="E115">
        <v>5452.02978515625</v>
      </c>
      <c r="F115">
        <v>5464.6201171875</v>
      </c>
      <c r="G115">
        <v>6773800000</v>
      </c>
      <c r="H115">
        <v>0</v>
      </c>
      <c r="I115">
        <v>0</v>
      </c>
    </row>
    <row r="116" spans="1:9" x14ac:dyDescent="0.5">
      <c r="A116" s="1">
        <v>45467</v>
      </c>
      <c r="B116">
        <v>-3.0651718949899999E-3</v>
      </c>
      <c r="C116">
        <v>5459.580078125</v>
      </c>
      <c r="D116">
        <v>5490.66015625</v>
      </c>
      <c r="E116">
        <v>5447.58984375</v>
      </c>
      <c r="F116">
        <v>5447.8701171875</v>
      </c>
      <c r="G116">
        <v>3696750000</v>
      </c>
      <c r="H116">
        <v>0</v>
      </c>
      <c r="I116">
        <v>0</v>
      </c>
    </row>
    <row r="117" spans="1:9" x14ac:dyDescent="0.5">
      <c r="A117" s="1">
        <v>45468</v>
      </c>
      <c r="B117">
        <v>3.9335900157368899E-3</v>
      </c>
      <c r="C117">
        <v>5460.72998046875</v>
      </c>
      <c r="D117">
        <v>5472.8798828125</v>
      </c>
      <c r="E117">
        <v>5446.56005859375</v>
      </c>
      <c r="F117">
        <v>5469.2998046875</v>
      </c>
      <c r="G117">
        <v>3591960000</v>
      </c>
      <c r="H117">
        <v>0</v>
      </c>
      <c r="I117">
        <v>0</v>
      </c>
    </row>
    <row r="118" spans="1:9" x14ac:dyDescent="0.5">
      <c r="A118" s="1">
        <v>45469</v>
      </c>
      <c r="B118">
        <v>1.5724312002203199E-3</v>
      </c>
      <c r="C118">
        <v>5460.7099609375</v>
      </c>
      <c r="D118">
        <v>5483.14013671875</v>
      </c>
      <c r="E118">
        <v>5451.8701171875</v>
      </c>
      <c r="F118">
        <v>5477.89990234375</v>
      </c>
      <c r="G118">
        <v>3563920000</v>
      </c>
      <c r="H118">
        <v>0</v>
      </c>
      <c r="I118">
        <v>0</v>
      </c>
    </row>
    <row r="119" spans="1:9" x14ac:dyDescent="0.5">
      <c r="A119" s="1">
        <v>45470</v>
      </c>
      <c r="B119">
        <v>9.0732122389147697E-4</v>
      </c>
      <c r="C119">
        <v>5473.58984375</v>
      </c>
      <c r="D119">
        <v>5490.81005859375</v>
      </c>
      <c r="E119">
        <v>5467.5400390625</v>
      </c>
      <c r="F119">
        <v>5482.8701171875</v>
      </c>
      <c r="G119">
        <v>3589530000</v>
      </c>
      <c r="H119">
        <v>0</v>
      </c>
      <c r="I119">
        <v>0</v>
      </c>
    </row>
    <row r="120" spans="1:9" x14ac:dyDescent="0.5">
      <c r="A120" s="1">
        <v>45471</v>
      </c>
      <c r="B120">
        <v>-4.0836525834456704E-3</v>
      </c>
      <c r="C120">
        <v>5488.47998046875</v>
      </c>
      <c r="D120">
        <v>5523.64013671875</v>
      </c>
      <c r="E120">
        <v>5451.1201171875</v>
      </c>
      <c r="F120">
        <v>5460.47998046875</v>
      </c>
      <c r="G120">
        <v>7199220000</v>
      </c>
      <c r="H120">
        <v>0</v>
      </c>
      <c r="I120">
        <v>0</v>
      </c>
    </row>
    <row r="121" spans="1:9" x14ac:dyDescent="0.5">
      <c r="A121" s="1">
        <v>45474</v>
      </c>
      <c r="B121">
        <v>2.6755639309195001E-3</v>
      </c>
      <c r="C121">
        <v>5471.080078125</v>
      </c>
      <c r="D121">
        <v>5479.5498046875</v>
      </c>
      <c r="E121">
        <v>5446.52978515625</v>
      </c>
      <c r="F121">
        <v>5475.08984375</v>
      </c>
      <c r="G121">
        <v>3488760000</v>
      </c>
      <c r="H121">
        <v>0</v>
      </c>
      <c r="I121">
        <v>0</v>
      </c>
    </row>
    <row r="122" spans="1:9" x14ac:dyDescent="0.5">
      <c r="A122" s="1">
        <v>45475</v>
      </c>
      <c r="B122">
        <v>6.1953178565135004E-3</v>
      </c>
      <c r="C122">
        <v>5461.83984375</v>
      </c>
      <c r="D122">
        <v>5509.68994140625</v>
      </c>
      <c r="E122">
        <v>5458.43017578125</v>
      </c>
      <c r="F122">
        <v>5509.009765625</v>
      </c>
      <c r="G122">
        <v>3329950000</v>
      </c>
      <c r="H122">
        <v>0</v>
      </c>
      <c r="I122">
        <v>0</v>
      </c>
    </row>
    <row r="123" spans="1:9" x14ac:dyDescent="0.5">
      <c r="A123" s="1">
        <v>45476</v>
      </c>
      <c r="B123">
        <v>5.0844444097790601E-3</v>
      </c>
      <c r="C123">
        <v>5507.43994140625</v>
      </c>
      <c r="D123">
        <v>5539.27001953125</v>
      </c>
      <c r="E123">
        <v>5507.419921875</v>
      </c>
      <c r="F123">
        <v>5537.02001953125</v>
      </c>
      <c r="G123">
        <v>2179470000</v>
      </c>
      <c r="H123">
        <v>0</v>
      </c>
      <c r="I123">
        <v>0</v>
      </c>
    </row>
    <row r="124" spans="1:9" x14ac:dyDescent="0.5">
      <c r="A124" s="1">
        <v>45478</v>
      </c>
      <c r="B124">
        <v>5.44876517848558E-3</v>
      </c>
      <c r="C124">
        <v>5537.91015625</v>
      </c>
      <c r="D124">
        <v>5570.330078125</v>
      </c>
      <c r="E124">
        <v>5531.6298828125</v>
      </c>
      <c r="F124">
        <v>5567.18994140625</v>
      </c>
      <c r="G124">
        <v>3253080000</v>
      </c>
      <c r="H124">
        <v>0</v>
      </c>
      <c r="I124">
        <v>0</v>
      </c>
    </row>
    <row r="125" spans="1:9" x14ac:dyDescent="0.5">
      <c r="A125" s="1">
        <v>45481</v>
      </c>
      <c r="B125">
        <v>1.0166989647510899E-3</v>
      </c>
      <c r="C125">
        <v>5572.75</v>
      </c>
      <c r="D125">
        <v>5583.10986328125</v>
      </c>
      <c r="E125">
        <v>5562.509765625</v>
      </c>
      <c r="F125">
        <v>5572.85009765625</v>
      </c>
      <c r="G125">
        <v>3185670000</v>
      </c>
      <c r="H125">
        <v>0</v>
      </c>
      <c r="I125">
        <v>0</v>
      </c>
    </row>
    <row r="126" spans="1:9" x14ac:dyDescent="0.5">
      <c r="A126" s="1">
        <v>45482</v>
      </c>
      <c r="B126">
        <v>7.4107193628569702E-4</v>
      </c>
      <c r="C126">
        <v>5584.240234375</v>
      </c>
      <c r="D126">
        <v>5590.75</v>
      </c>
      <c r="E126">
        <v>5574.56982421875</v>
      </c>
      <c r="F126">
        <v>5576.97998046875</v>
      </c>
      <c r="G126">
        <v>3232920000</v>
      </c>
      <c r="H126">
        <v>0</v>
      </c>
      <c r="I126">
        <v>0</v>
      </c>
    </row>
    <row r="127" spans="1:9" x14ac:dyDescent="0.5">
      <c r="A127" s="1">
        <v>45483</v>
      </c>
      <c r="B127">
        <v>1.02080652935148E-2</v>
      </c>
      <c r="C127">
        <v>5591.259765625</v>
      </c>
      <c r="D127">
        <v>5635.39013671875</v>
      </c>
      <c r="E127">
        <v>5586.43994140625</v>
      </c>
      <c r="F127">
        <v>5633.91015625</v>
      </c>
      <c r="G127">
        <v>3336100000</v>
      </c>
      <c r="H127">
        <v>0</v>
      </c>
      <c r="I127">
        <v>0</v>
      </c>
    </row>
    <row r="128" spans="1:9" x14ac:dyDescent="0.5">
      <c r="A128" s="1">
        <v>45484</v>
      </c>
      <c r="B128">
        <v>-8.7630288411204502E-3</v>
      </c>
      <c r="C128">
        <v>5635.2099609375</v>
      </c>
      <c r="D128">
        <v>5642.4501953125</v>
      </c>
      <c r="E128">
        <v>5576.52978515625</v>
      </c>
      <c r="F128">
        <v>5584.5400390625</v>
      </c>
      <c r="G128">
        <v>4020950000</v>
      </c>
      <c r="H128">
        <v>0</v>
      </c>
      <c r="I128">
        <v>0</v>
      </c>
    </row>
    <row r="129" spans="1:9" x14ac:dyDescent="0.5">
      <c r="A129" s="1">
        <v>45485</v>
      </c>
      <c r="B129">
        <v>5.5170270744306898E-3</v>
      </c>
      <c r="C129">
        <v>5590.759765625</v>
      </c>
      <c r="D129">
        <v>5655.56005859375</v>
      </c>
      <c r="E129">
        <v>5590.43994140625</v>
      </c>
      <c r="F129">
        <v>5615.35009765625</v>
      </c>
      <c r="G129">
        <v>3700280000</v>
      </c>
      <c r="H129">
        <v>0</v>
      </c>
      <c r="I129">
        <v>0</v>
      </c>
    </row>
    <row r="130" spans="1:9" x14ac:dyDescent="0.5">
      <c r="A130" s="1">
        <v>45488</v>
      </c>
      <c r="B130">
        <v>2.8262026252154899E-3</v>
      </c>
      <c r="C130">
        <v>5638.16015625</v>
      </c>
      <c r="D130">
        <v>5666.93994140625</v>
      </c>
      <c r="E130">
        <v>5614.75</v>
      </c>
      <c r="F130">
        <v>5631.22021484375</v>
      </c>
      <c r="G130">
        <v>3620470000</v>
      </c>
      <c r="H130">
        <v>0</v>
      </c>
      <c r="I130">
        <v>0</v>
      </c>
    </row>
    <row r="131" spans="1:9" x14ac:dyDescent="0.5">
      <c r="A131" s="1">
        <v>45489</v>
      </c>
      <c r="B131">
        <v>6.3893754987431797E-3</v>
      </c>
      <c r="C131">
        <v>5644.08984375</v>
      </c>
      <c r="D131">
        <v>5669.669921875</v>
      </c>
      <c r="E131">
        <v>5639.02001953125</v>
      </c>
      <c r="F131">
        <v>5667.2001953125</v>
      </c>
      <c r="G131">
        <v>4041760000</v>
      </c>
      <c r="H131">
        <v>0</v>
      </c>
      <c r="I131">
        <v>0</v>
      </c>
    </row>
    <row r="132" spans="1:9" x14ac:dyDescent="0.5">
      <c r="A132" s="1">
        <v>45490</v>
      </c>
      <c r="B132">
        <v>-1.39275432419937E-2</v>
      </c>
      <c r="C132">
        <v>5610.06982421875</v>
      </c>
      <c r="D132">
        <v>5622.490234375</v>
      </c>
      <c r="E132">
        <v>5584.81005859375</v>
      </c>
      <c r="F132">
        <v>5588.27001953125</v>
      </c>
      <c r="G132">
        <v>4246450000</v>
      </c>
      <c r="H132">
        <v>0</v>
      </c>
      <c r="I132">
        <v>0</v>
      </c>
    </row>
    <row r="133" spans="1:9" x14ac:dyDescent="0.5">
      <c r="A133" s="1">
        <v>45491</v>
      </c>
      <c r="B133">
        <v>-7.8164039369225096E-3</v>
      </c>
      <c r="C133">
        <v>5608.56005859375</v>
      </c>
      <c r="D133">
        <v>5614.0498046875</v>
      </c>
      <c r="E133">
        <v>5522.81005859375</v>
      </c>
      <c r="F133">
        <v>5544.58984375</v>
      </c>
      <c r="G133">
        <v>4007510000</v>
      </c>
      <c r="H133">
        <v>0</v>
      </c>
      <c r="I133">
        <v>0</v>
      </c>
    </row>
    <row r="134" spans="1:9" x14ac:dyDescent="0.5">
      <c r="A134" s="1">
        <v>45492</v>
      </c>
      <c r="B134">
        <v>-7.1402655319269199E-3</v>
      </c>
      <c r="C134">
        <v>5543.3701171875</v>
      </c>
      <c r="D134">
        <v>5557.5</v>
      </c>
      <c r="E134">
        <v>5497.0400390625</v>
      </c>
      <c r="F134">
        <v>5505</v>
      </c>
      <c r="G134">
        <v>3760570000</v>
      </c>
      <c r="H134">
        <v>0</v>
      </c>
      <c r="I134">
        <v>0</v>
      </c>
    </row>
    <row r="135" spans="1:9" x14ac:dyDescent="0.5">
      <c r="A135" s="1">
        <v>45495</v>
      </c>
      <c r="B135">
        <v>1.07920356494095E-2</v>
      </c>
      <c r="C135">
        <v>5544.5400390625</v>
      </c>
      <c r="D135">
        <v>5570.35986328125</v>
      </c>
      <c r="E135">
        <v>5529.0400390625</v>
      </c>
      <c r="F135">
        <v>5564.41015625</v>
      </c>
      <c r="G135">
        <v>3375180000</v>
      </c>
      <c r="H135">
        <v>0</v>
      </c>
      <c r="I135">
        <v>0</v>
      </c>
    </row>
    <row r="136" spans="1:9" x14ac:dyDescent="0.5">
      <c r="A136" s="1">
        <v>45496</v>
      </c>
      <c r="B136">
        <v>-1.5581025897707301E-3</v>
      </c>
      <c r="C136">
        <v>5565.2998046875</v>
      </c>
      <c r="D136">
        <v>5585.33984375</v>
      </c>
      <c r="E136">
        <v>5550.89990234375</v>
      </c>
      <c r="F136">
        <v>5555.740234375</v>
      </c>
      <c r="G136">
        <v>3500210000</v>
      </c>
      <c r="H136">
        <v>0</v>
      </c>
      <c r="I136">
        <v>0</v>
      </c>
    </row>
    <row r="137" spans="1:9" x14ac:dyDescent="0.5">
      <c r="A137" s="1">
        <v>45497</v>
      </c>
      <c r="B137">
        <v>-2.3149093754734899E-2</v>
      </c>
      <c r="C137">
        <v>5505.83984375</v>
      </c>
      <c r="D137">
        <v>5508.0400390625</v>
      </c>
      <c r="E137">
        <v>5419.97998046875</v>
      </c>
      <c r="F137">
        <v>5427.1298828125</v>
      </c>
      <c r="G137">
        <v>3945550000</v>
      </c>
      <c r="H137">
        <v>0</v>
      </c>
      <c r="I137">
        <v>0</v>
      </c>
    </row>
    <row r="138" spans="1:9" x14ac:dyDescent="0.5">
      <c r="A138" s="1">
        <v>45498</v>
      </c>
      <c r="B138">
        <v>-5.1426202378422802E-3</v>
      </c>
      <c r="C138">
        <v>5428.7001953125</v>
      </c>
      <c r="D138">
        <v>5491.58984375</v>
      </c>
      <c r="E138">
        <v>5390.9501953125</v>
      </c>
      <c r="F138">
        <v>5399.22021484375</v>
      </c>
      <c r="G138">
        <v>4592120000</v>
      </c>
      <c r="H138">
        <v>0</v>
      </c>
      <c r="I138">
        <v>0</v>
      </c>
    </row>
    <row r="139" spans="1:9" x14ac:dyDescent="0.5">
      <c r="A139" s="1">
        <v>45499</v>
      </c>
      <c r="B139">
        <v>1.1090468702846299E-2</v>
      </c>
      <c r="C139">
        <v>5433.669921875</v>
      </c>
      <c r="D139">
        <v>5488.31982421875</v>
      </c>
      <c r="E139">
        <v>5430.7001953125</v>
      </c>
      <c r="F139">
        <v>5459.10009765625</v>
      </c>
      <c r="G139">
        <v>3638770000</v>
      </c>
      <c r="H139">
        <v>0</v>
      </c>
      <c r="I139">
        <v>0</v>
      </c>
    </row>
    <row r="140" spans="1:9" x14ac:dyDescent="0.5">
      <c r="A140" s="1">
        <v>45502</v>
      </c>
      <c r="B140">
        <v>8.1331012929330895E-4</v>
      </c>
      <c r="C140">
        <v>5476.5498046875</v>
      </c>
      <c r="D140">
        <v>5487.740234375</v>
      </c>
      <c r="E140">
        <v>5444.43994140625</v>
      </c>
      <c r="F140">
        <v>5463.5400390625</v>
      </c>
      <c r="G140">
        <v>3379970000</v>
      </c>
      <c r="H140">
        <v>0</v>
      </c>
      <c r="I140">
        <v>0</v>
      </c>
    </row>
    <row r="141" spans="1:9" x14ac:dyDescent="0.5">
      <c r="A141" s="1">
        <v>45503</v>
      </c>
      <c r="B141">
        <v>-4.9601718780302104E-3</v>
      </c>
      <c r="C141">
        <v>5478.72998046875</v>
      </c>
      <c r="D141">
        <v>5489.4599609375</v>
      </c>
      <c r="E141">
        <v>5401.7001953125</v>
      </c>
      <c r="F141">
        <v>5436.43994140625</v>
      </c>
      <c r="G141">
        <v>3777740000</v>
      </c>
      <c r="H141">
        <v>0</v>
      </c>
      <c r="I141">
        <v>0</v>
      </c>
    </row>
    <row r="142" spans="1:9" x14ac:dyDescent="0.5">
      <c r="A142" s="1">
        <v>45504</v>
      </c>
      <c r="B142">
        <v>1.5793398659167401E-2</v>
      </c>
      <c r="C142">
        <v>5505.58984375</v>
      </c>
      <c r="D142">
        <v>5551.509765625</v>
      </c>
      <c r="E142">
        <v>5493.75</v>
      </c>
      <c r="F142">
        <v>5522.2998046875</v>
      </c>
      <c r="G142">
        <v>4546910000</v>
      </c>
      <c r="H142">
        <v>0</v>
      </c>
      <c r="I142">
        <v>0</v>
      </c>
    </row>
    <row r="143" spans="1:9" x14ac:dyDescent="0.5">
      <c r="A143" s="1">
        <v>45505</v>
      </c>
      <c r="B143">
        <v>-1.3693502993456E-2</v>
      </c>
      <c r="C143">
        <v>5537.83984375</v>
      </c>
      <c r="D143">
        <v>5566.16015625</v>
      </c>
      <c r="E143">
        <v>5410.419921875</v>
      </c>
      <c r="F143">
        <v>5446.68017578125</v>
      </c>
      <c r="G143">
        <v>4703620000</v>
      </c>
      <c r="H143">
        <v>0</v>
      </c>
      <c r="I143">
        <v>0</v>
      </c>
    </row>
    <row r="144" spans="1:9" x14ac:dyDescent="0.5">
      <c r="A144" s="1">
        <v>45506</v>
      </c>
      <c r="B144">
        <v>-1.8381860868696701E-2</v>
      </c>
      <c r="C144">
        <v>5376.6298828125</v>
      </c>
      <c r="D144">
        <v>5383.89013671875</v>
      </c>
      <c r="E144">
        <v>5302.02978515625</v>
      </c>
      <c r="F144">
        <v>5346.56005859375</v>
      </c>
      <c r="G144">
        <v>5156450000</v>
      </c>
      <c r="H144">
        <v>0</v>
      </c>
      <c r="I144">
        <v>0</v>
      </c>
    </row>
    <row r="145" spans="1:9" x14ac:dyDescent="0.5">
      <c r="A145" s="1">
        <v>45509</v>
      </c>
      <c r="B145">
        <v>-2.9968798388639702E-2</v>
      </c>
      <c r="C145">
        <v>5151.14013671875</v>
      </c>
      <c r="D145">
        <v>5250.89013671875</v>
      </c>
      <c r="E145">
        <v>5119.259765625</v>
      </c>
      <c r="F145">
        <v>5186.330078125</v>
      </c>
      <c r="G145">
        <v>5333250000</v>
      </c>
      <c r="H145">
        <v>0</v>
      </c>
      <c r="I145">
        <v>0</v>
      </c>
    </row>
    <row r="146" spans="1:9" x14ac:dyDescent="0.5">
      <c r="A146" s="1">
        <v>45510</v>
      </c>
      <c r="B146">
        <v>1.0354085880061E-2</v>
      </c>
      <c r="C146">
        <v>5206.419921875</v>
      </c>
      <c r="D146">
        <v>5312.33984375</v>
      </c>
      <c r="E146">
        <v>5193.56005859375</v>
      </c>
      <c r="F146">
        <v>5240.02978515625</v>
      </c>
      <c r="G146">
        <v>4690190000</v>
      </c>
      <c r="H146">
        <v>0</v>
      </c>
      <c r="I146">
        <v>0</v>
      </c>
    </row>
    <row r="147" spans="1:9" x14ac:dyDescent="0.5">
      <c r="A147" s="1">
        <v>45511</v>
      </c>
      <c r="B147">
        <v>-7.7346478585028598E-3</v>
      </c>
      <c r="C147">
        <v>5293.1298828125</v>
      </c>
      <c r="D147">
        <v>5330.64013671875</v>
      </c>
      <c r="E147">
        <v>5195.5400390625</v>
      </c>
      <c r="F147">
        <v>5199.5</v>
      </c>
      <c r="G147">
        <v>4558260000</v>
      </c>
      <c r="H147">
        <v>0</v>
      </c>
      <c r="I147">
        <v>0</v>
      </c>
    </row>
    <row r="148" spans="1:9" x14ac:dyDescent="0.5">
      <c r="A148" s="1">
        <v>45512</v>
      </c>
      <c r="B148">
        <v>2.3042611519136402E-2</v>
      </c>
      <c r="C148">
        <v>5252.56982421875</v>
      </c>
      <c r="D148">
        <v>5328.02978515625</v>
      </c>
      <c r="E148">
        <v>5233.85009765625</v>
      </c>
      <c r="F148">
        <v>5319.31005859375</v>
      </c>
      <c r="G148">
        <v>4016830000</v>
      </c>
      <c r="H148">
        <v>0</v>
      </c>
      <c r="I148">
        <v>0</v>
      </c>
    </row>
    <row r="149" spans="1:9" x14ac:dyDescent="0.5">
      <c r="A149" s="1">
        <v>45513</v>
      </c>
      <c r="B149">
        <v>4.6716768495384999E-3</v>
      </c>
      <c r="C149">
        <v>5314.66015625</v>
      </c>
      <c r="D149">
        <v>5358.669921875</v>
      </c>
      <c r="E149">
        <v>5300.83984375</v>
      </c>
      <c r="F149">
        <v>5344.16015625</v>
      </c>
      <c r="G149">
        <v>3516400000</v>
      </c>
      <c r="H149">
        <v>0</v>
      </c>
      <c r="I149">
        <v>0</v>
      </c>
    </row>
    <row r="150" spans="1:9" x14ac:dyDescent="0.5">
      <c r="A150" s="1">
        <v>45516</v>
      </c>
      <c r="B150" s="28">
        <v>4.3033977655149097E-5</v>
      </c>
      <c r="C150">
        <v>5351.8798828125</v>
      </c>
      <c r="D150">
        <v>5371.2001953125</v>
      </c>
      <c r="E150">
        <v>5324.3701171875</v>
      </c>
      <c r="F150">
        <v>5344.39013671875</v>
      </c>
      <c r="G150">
        <v>3360160000</v>
      </c>
      <c r="H150">
        <v>0</v>
      </c>
      <c r="I150">
        <v>0</v>
      </c>
    </row>
    <row r="151" spans="1:9" x14ac:dyDescent="0.5">
      <c r="A151" s="1">
        <v>45517</v>
      </c>
      <c r="B151">
        <v>1.6847579753558301E-2</v>
      </c>
      <c r="C151">
        <v>5376.97998046875</v>
      </c>
      <c r="D151">
        <v>5436.5</v>
      </c>
      <c r="E151">
        <v>5376.97998046875</v>
      </c>
      <c r="F151">
        <v>5434.43017578125</v>
      </c>
      <c r="G151">
        <v>3648980000</v>
      </c>
      <c r="H151">
        <v>0</v>
      </c>
      <c r="I151">
        <v>0</v>
      </c>
    </row>
    <row r="152" spans="1:9" x14ac:dyDescent="0.5">
      <c r="A152" s="1">
        <v>45518</v>
      </c>
      <c r="B152" s="28">
        <v>3.8237284285766999E-3</v>
      </c>
      <c r="C152">
        <v>5442.35986328125</v>
      </c>
      <c r="D152">
        <v>5463.22021484375</v>
      </c>
      <c r="E152">
        <v>5415.91015625</v>
      </c>
      <c r="F152">
        <v>5455.2099609375</v>
      </c>
      <c r="G152">
        <v>3380050000</v>
      </c>
      <c r="H152">
        <v>0</v>
      </c>
      <c r="I152">
        <v>0</v>
      </c>
    </row>
    <row r="153" spans="1:9" x14ac:dyDescent="0.5">
      <c r="A153" s="1">
        <v>45519</v>
      </c>
      <c r="B153">
        <v>1.6133247764330699E-2</v>
      </c>
      <c r="C153">
        <v>5501.1298828125</v>
      </c>
      <c r="D153">
        <v>5546.22998046875</v>
      </c>
      <c r="E153">
        <v>5501.1298828125</v>
      </c>
      <c r="F153">
        <v>5543.22021484375</v>
      </c>
      <c r="G153">
        <v>3723310000</v>
      </c>
      <c r="H153">
        <v>0</v>
      </c>
      <c r="I153">
        <v>0</v>
      </c>
    </row>
    <row r="154" spans="1:9" x14ac:dyDescent="0.5">
      <c r="A154" s="1">
        <v>45520</v>
      </c>
      <c r="B154">
        <v>1.9897793572614098E-3</v>
      </c>
      <c r="C154">
        <v>5530.5</v>
      </c>
      <c r="D154">
        <v>5561.97998046875</v>
      </c>
      <c r="E154">
        <v>5525.169921875</v>
      </c>
      <c r="F154">
        <v>5554.25</v>
      </c>
      <c r="G154">
        <v>3357690000</v>
      </c>
      <c r="H154">
        <v>0</v>
      </c>
      <c r="I154">
        <v>0</v>
      </c>
    </row>
    <row r="155" spans="1:9" x14ac:dyDescent="0.5">
      <c r="A155" s="1">
        <v>45523</v>
      </c>
      <c r="B155">
        <v>9.7222847369131601E-3</v>
      </c>
      <c r="C155">
        <v>5557.22998046875</v>
      </c>
      <c r="D155">
        <v>5608.2998046875</v>
      </c>
      <c r="E155">
        <v>5550.740234375</v>
      </c>
      <c r="F155">
        <v>5608.25</v>
      </c>
      <c r="G155">
        <v>3222050000</v>
      </c>
      <c r="H155">
        <v>0</v>
      </c>
      <c r="I155">
        <v>0</v>
      </c>
    </row>
    <row r="156" spans="1:9" x14ac:dyDescent="0.5">
      <c r="A156" s="1">
        <v>45524</v>
      </c>
      <c r="B156">
        <v>-1.98455539829711E-3</v>
      </c>
      <c r="C156">
        <v>5602.8798828125</v>
      </c>
      <c r="D156">
        <v>5620.509765625</v>
      </c>
      <c r="E156">
        <v>5585.5</v>
      </c>
      <c r="F156">
        <v>5597.1201171875</v>
      </c>
      <c r="G156">
        <v>2994420000</v>
      </c>
      <c r="H156">
        <v>0</v>
      </c>
      <c r="I156">
        <v>0</v>
      </c>
    </row>
    <row r="157" spans="1:9" x14ac:dyDescent="0.5">
      <c r="A157" s="1">
        <v>45525</v>
      </c>
      <c r="B157">
        <v>4.2396768287820104E-3</v>
      </c>
      <c r="C157">
        <v>5603.08984375</v>
      </c>
      <c r="D157">
        <v>5632.68017578125</v>
      </c>
      <c r="E157">
        <v>5591.56982421875</v>
      </c>
      <c r="F157">
        <v>5620.85009765625</v>
      </c>
      <c r="G157">
        <v>3119670000</v>
      </c>
      <c r="H157">
        <v>0</v>
      </c>
      <c r="I157">
        <v>0</v>
      </c>
    </row>
    <row r="158" spans="1:9" x14ac:dyDescent="0.5">
      <c r="A158" s="1">
        <v>45526</v>
      </c>
      <c r="B158">
        <v>-8.9328055481209204E-3</v>
      </c>
      <c r="C158">
        <v>5637.77001953125</v>
      </c>
      <c r="D158">
        <v>5643.22021484375</v>
      </c>
      <c r="E158">
        <v>5560.9501953125</v>
      </c>
      <c r="F158">
        <v>5570.64013671875</v>
      </c>
      <c r="G158">
        <v>2981530000</v>
      </c>
      <c r="H158">
        <v>0</v>
      </c>
      <c r="I158">
        <v>0</v>
      </c>
    </row>
    <row r="159" spans="1:9" x14ac:dyDescent="0.5">
      <c r="A159" s="1">
        <v>45527</v>
      </c>
      <c r="B159">
        <v>1.14833708501191E-2</v>
      </c>
      <c r="C159">
        <v>5602.490234375</v>
      </c>
      <c r="D159">
        <v>5641.81982421875</v>
      </c>
      <c r="E159">
        <v>5585.16015625</v>
      </c>
      <c r="F159">
        <v>5634.60986328125</v>
      </c>
      <c r="G159">
        <v>3291940000</v>
      </c>
      <c r="H159">
        <v>0</v>
      </c>
      <c r="I159">
        <v>0</v>
      </c>
    </row>
    <row r="160" spans="1:9" x14ac:dyDescent="0.5">
      <c r="A160" s="1">
        <v>45530</v>
      </c>
      <c r="B160">
        <v>-3.15372669313818E-3</v>
      </c>
      <c r="C160">
        <v>5639.66015625</v>
      </c>
      <c r="D160">
        <v>5651.6201171875</v>
      </c>
      <c r="E160">
        <v>5602.33984375</v>
      </c>
      <c r="F160">
        <v>5616.83984375</v>
      </c>
      <c r="G160">
        <v>2938570000</v>
      </c>
      <c r="H160">
        <v>0</v>
      </c>
      <c r="I160">
        <v>0</v>
      </c>
    </row>
    <row r="161" spans="1:9" x14ac:dyDescent="0.5">
      <c r="A161" s="1">
        <v>45531</v>
      </c>
      <c r="B161">
        <v>1.59519608654501E-3</v>
      </c>
      <c r="C161">
        <v>5602.89013671875</v>
      </c>
      <c r="D161">
        <v>5631.18017578125</v>
      </c>
      <c r="E161">
        <v>5593.47998046875</v>
      </c>
      <c r="F161">
        <v>5625.7998046875</v>
      </c>
      <c r="G161">
        <v>2798990000</v>
      </c>
      <c r="H161">
        <v>0</v>
      </c>
      <c r="I161">
        <v>0</v>
      </c>
    </row>
    <row r="162" spans="1:9" x14ac:dyDescent="0.5">
      <c r="A162" s="1">
        <v>45532</v>
      </c>
      <c r="B162">
        <v>-5.9759732079761596E-3</v>
      </c>
      <c r="C162">
        <v>5624.509765625</v>
      </c>
      <c r="D162">
        <v>5627.02978515625</v>
      </c>
      <c r="E162">
        <v>5560.9501953125</v>
      </c>
      <c r="F162">
        <v>5592.18017578125</v>
      </c>
      <c r="G162">
        <v>3053450000</v>
      </c>
      <c r="H162">
        <v>0</v>
      </c>
      <c r="I162">
        <v>0</v>
      </c>
    </row>
    <row r="163" spans="1:9" x14ac:dyDescent="0.5">
      <c r="A163" s="1">
        <v>45533</v>
      </c>
      <c r="B163" s="28">
        <v>-3.9379068060729697E-5</v>
      </c>
      <c r="C163">
        <v>5607.2998046875</v>
      </c>
      <c r="D163">
        <v>5646.9501953125</v>
      </c>
      <c r="E163">
        <v>5583.7099609375</v>
      </c>
      <c r="F163">
        <v>5591.9599609375</v>
      </c>
      <c r="G163">
        <v>3065640000</v>
      </c>
      <c r="H163">
        <v>0</v>
      </c>
      <c r="I163">
        <v>0</v>
      </c>
    </row>
    <row r="164" spans="1:9" x14ac:dyDescent="0.5">
      <c r="A164" s="1">
        <v>45534</v>
      </c>
      <c r="B164">
        <v>1.00930517744244E-2</v>
      </c>
      <c r="C164">
        <v>5612.740234375</v>
      </c>
      <c r="D164">
        <v>5651.3701171875</v>
      </c>
      <c r="E164">
        <v>5581.7900390625</v>
      </c>
      <c r="F164">
        <v>5648.39990234375</v>
      </c>
      <c r="G164">
        <v>4185850000</v>
      </c>
      <c r="H164">
        <v>0</v>
      </c>
      <c r="I164">
        <v>0</v>
      </c>
    </row>
    <row r="165" spans="1:9" x14ac:dyDescent="0.5">
      <c r="A165" s="1">
        <v>45538</v>
      </c>
      <c r="B165" s="28">
        <v>-2.1151074397711599E-2</v>
      </c>
      <c r="C165">
        <v>5623.89013671875</v>
      </c>
      <c r="D165">
        <v>5623.89013671875</v>
      </c>
      <c r="E165">
        <v>5504.330078125</v>
      </c>
      <c r="F165">
        <v>5528.93017578125</v>
      </c>
      <c r="G165">
        <v>3866350000</v>
      </c>
      <c r="H165">
        <v>0</v>
      </c>
      <c r="I165">
        <v>0</v>
      </c>
    </row>
    <row r="166" spans="1:9" x14ac:dyDescent="0.5">
      <c r="A166" s="1">
        <v>45539</v>
      </c>
      <c r="B166">
        <v>-1.60254358091038E-3</v>
      </c>
      <c r="C166">
        <v>5506.68017578125</v>
      </c>
      <c r="D166">
        <v>5552.990234375</v>
      </c>
      <c r="E166">
        <v>5503.66015625</v>
      </c>
      <c r="F166">
        <v>5520.06982421875</v>
      </c>
      <c r="G166">
        <v>3478140000</v>
      </c>
      <c r="H166">
        <v>0</v>
      </c>
      <c r="I166">
        <v>0</v>
      </c>
    </row>
    <row r="167" spans="1:9" x14ac:dyDescent="0.5">
      <c r="A167" s="1">
        <v>45540</v>
      </c>
      <c r="B167">
        <v>-3.0180176155847299E-3</v>
      </c>
      <c r="C167">
        <v>5520.080078125</v>
      </c>
      <c r="D167">
        <v>5546.2998046875</v>
      </c>
      <c r="E167">
        <v>5480.5400390625</v>
      </c>
      <c r="F167">
        <v>5503.41015625</v>
      </c>
      <c r="G167">
        <v>3521650000</v>
      </c>
      <c r="H167">
        <v>0</v>
      </c>
      <c r="I167">
        <v>0</v>
      </c>
    </row>
    <row r="168" spans="1:9" x14ac:dyDescent="0.5">
      <c r="A168" s="1">
        <v>45541</v>
      </c>
      <c r="B168">
        <v>-1.72602498592846E-2</v>
      </c>
      <c r="C168">
        <v>5507.330078125</v>
      </c>
      <c r="D168">
        <v>5522.47021484375</v>
      </c>
      <c r="E168">
        <v>5402.6201171875</v>
      </c>
      <c r="F168">
        <v>5408.419921875</v>
      </c>
      <c r="G168">
        <v>3822800000</v>
      </c>
      <c r="H168">
        <v>0</v>
      </c>
      <c r="I168">
        <v>0</v>
      </c>
    </row>
    <row r="169" spans="1:9" x14ac:dyDescent="0.5">
      <c r="A169" s="1">
        <v>45544</v>
      </c>
      <c r="B169">
        <v>1.1580070282484201E-2</v>
      </c>
      <c r="C169">
        <v>5442.06982421875</v>
      </c>
      <c r="D169">
        <v>5484.2001953125</v>
      </c>
      <c r="E169">
        <v>5434.490234375</v>
      </c>
      <c r="F169">
        <v>5471.0498046875</v>
      </c>
      <c r="G169">
        <v>3825940000</v>
      </c>
      <c r="H169">
        <v>0</v>
      </c>
      <c r="I169">
        <v>0</v>
      </c>
    </row>
    <row r="170" spans="1:9" x14ac:dyDescent="0.5">
      <c r="A170" s="1">
        <v>45545</v>
      </c>
      <c r="B170">
        <v>4.4726726528396803E-3</v>
      </c>
      <c r="C170">
        <v>5490.509765625</v>
      </c>
      <c r="D170">
        <v>5497.91015625</v>
      </c>
      <c r="E170">
        <v>5441.72021484375</v>
      </c>
      <c r="F170">
        <v>5495.52001953125</v>
      </c>
      <c r="G170">
        <v>3848180000</v>
      </c>
      <c r="H170">
        <v>0</v>
      </c>
      <c r="I170">
        <v>0</v>
      </c>
    </row>
    <row r="171" spans="1:9" x14ac:dyDescent="0.5">
      <c r="A171" s="1">
        <v>45546</v>
      </c>
      <c r="B171">
        <v>1.06650258888965E-2</v>
      </c>
      <c r="C171">
        <v>5496.419921875</v>
      </c>
      <c r="D171">
        <v>5560.41015625</v>
      </c>
      <c r="E171">
        <v>5406.9599609375</v>
      </c>
      <c r="F171">
        <v>5554.1298828125</v>
      </c>
      <c r="G171">
        <v>3839450000</v>
      </c>
      <c r="H171">
        <v>0</v>
      </c>
      <c r="I171">
        <v>0</v>
      </c>
    </row>
    <row r="172" spans="1:9" x14ac:dyDescent="0.5">
      <c r="A172" s="1">
        <v>45547</v>
      </c>
      <c r="B172">
        <v>7.49530235893924E-3</v>
      </c>
      <c r="C172">
        <v>5557.47998046875</v>
      </c>
      <c r="D172">
        <v>5600.7099609375</v>
      </c>
      <c r="E172">
        <v>5535.5</v>
      </c>
      <c r="F172">
        <v>5595.759765625</v>
      </c>
      <c r="G172">
        <v>3655070000</v>
      </c>
      <c r="H172">
        <v>0</v>
      </c>
      <c r="I172">
        <v>0</v>
      </c>
    </row>
    <row r="173" spans="1:9" x14ac:dyDescent="0.5">
      <c r="A173" s="1">
        <v>45548</v>
      </c>
      <c r="B173">
        <v>5.40771140536455E-3</v>
      </c>
      <c r="C173">
        <v>5603.33984375</v>
      </c>
      <c r="D173">
        <v>5636.27001953125</v>
      </c>
      <c r="E173">
        <v>5601.64990234375</v>
      </c>
      <c r="F173">
        <v>5626.02001953125</v>
      </c>
      <c r="G173">
        <v>3500790000</v>
      </c>
      <c r="H173">
        <v>0</v>
      </c>
      <c r="I173">
        <v>0</v>
      </c>
    </row>
    <row r="174" spans="1:9" x14ac:dyDescent="0.5">
      <c r="A174" s="1">
        <v>45551</v>
      </c>
      <c r="B174">
        <v>1.2566297656613199E-3</v>
      </c>
      <c r="C174">
        <v>5615.2099609375</v>
      </c>
      <c r="D174">
        <v>5636.0498046875</v>
      </c>
      <c r="E174">
        <v>5604.52978515625</v>
      </c>
      <c r="F174">
        <v>5633.08984375</v>
      </c>
      <c r="G174">
        <v>3437070000</v>
      </c>
      <c r="H174">
        <v>0</v>
      </c>
      <c r="I174">
        <v>0</v>
      </c>
    </row>
    <row r="175" spans="1:9" x14ac:dyDescent="0.5">
      <c r="A175" s="1">
        <v>45552</v>
      </c>
      <c r="B175">
        <v>2.6455008109871298E-4</v>
      </c>
      <c r="C175">
        <v>5655.509765625</v>
      </c>
      <c r="D175">
        <v>5670.81005859375</v>
      </c>
      <c r="E175">
        <v>5614.0498046875</v>
      </c>
      <c r="F175">
        <v>5634.580078125</v>
      </c>
      <c r="G175">
        <v>3443600000</v>
      </c>
      <c r="H175">
        <v>0</v>
      </c>
      <c r="I175">
        <v>0</v>
      </c>
    </row>
    <row r="176" spans="1:9" x14ac:dyDescent="0.5">
      <c r="A176" s="1">
        <v>45553</v>
      </c>
      <c r="B176">
        <v>-2.8964558624980899E-3</v>
      </c>
      <c r="C176">
        <v>5641.68017578125</v>
      </c>
      <c r="D176">
        <v>5689.75</v>
      </c>
      <c r="E176">
        <v>5615.080078125</v>
      </c>
      <c r="F176">
        <v>5618.259765625</v>
      </c>
      <c r="G176">
        <v>3691390000</v>
      </c>
      <c r="H176">
        <v>0</v>
      </c>
      <c r="I176">
        <v>0</v>
      </c>
    </row>
    <row r="177" spans="1:9" x14ac:dyDescent="0.5">
      <c r="A177" s="1">
        <v>45554</v>
      </c>
      <c r="B177">
        <v>1.6976853166763301E-2</v>
      </c>
      <c r="C177">
        <v>5702.6298828125</v>
      </c>
      <c r="D177">
        <v>5733.56982421875</v>
      </c>
      <c r="E177">
        <v>5686.419921875</v>
      </c>
      <c r="F177">
        <v>5713.64013671875</v>
      </c>
      <c r="G177">
        <v>4024530000</v>
      </c>
      <c r="H177">
        <v>0</v>
      </c>
      <c r="I177">
        <v>0</v>
      </c>
    </row>
    <row r="178" spans="1:9" x14ac:dyDescent="0.5">
      <c r="A178" s="1">
        <v>45555</v>
      </c>
      <c r="B178">
        <v>-1.9410273951237999E-3</v>
      </c>
      <c r="C178">
        <v>5709.64013671875</v>
      </c>
      <c r="D178">
        <v>5715.14013671875</v>
      </c>
      <c r="E178">
        <v>5674.490234375</v>
      </c>
      <c r="F178">
        <v>5702.5498046875</v>
      </c>
      <c r="G178">
        <v>7867260000</v>
      </c>
      <c r="H178">
        <v>0</v>
      </c>
      <c r="I178">
        <v>0</v>
      </c>
    </row>
    <row r="179" spans="1:9" x14ac:dyDescent="0.5">
      <c r="A179" s="1">
        <v>45558</v>
      </c>
      <c r="B179">
        <v>2.80927305853273E-3</v>
      </c>
      <c r="C179">
        <v>5711.89990234375</v>
      </c>
      <c r="D179">
        <v>5725.35986328125</v>
      </c>
      <c r="E179">
        <v>5704.22021484375</v>
      </c>
      <c r="F179">
        <v>5718.56982421875</v>
      </c>
      <c r="G179">
        <v>3529550000</v>
      </c>
      <c r="H179">
        <v>0</v>
      </c>
      <c r="I179">
        <v>0</v>
      </c>
    </row>
    <row r="180" spans="1:9" x14ac:dyDescent="0.5">
      <c r="A180" s="1">
        <v>45559</v>
      </c>
      <c r="B180">
        <v>2.51117884434703E-3</v>
      </c>
      <c r="C180">
        <v>5727.66015625</v>
      </c>
      <c r="D180">
        <v>5735.31982421875</v>
      </c>
      <c r="E180">
        <v>5698.990234375</v>
      </c>
      <c r="F180">
        <v>5732.93017578125</v>
      </c>
      <c r="G180">
        <v>3872710000</v>
      </c>
      <c r="H180">
        <v>0</v>
      </c>
      <c r="I180">
        <v>0</v>
      </c>
    </row>
    <row r="181" spans="1:9" x14ac:dyDescent="0.5">
      <c r="A181" s="1">
        <v>45560</v>
      </c>
      <c r="B181">
        <v>-1.86124893014172E-3</v>
      </c>
      <c r="C181">
        <v>5733.64990234375</v>
      </c>
      <c r="D181">
        <v>5741.02978515625</v>
      </c>
      <c r="E181">
        <v>5712.06005859375</v>
      </c>
      <c r="F181">
        <v>5722.259765625</v>
      </c>
      <c r="G181">
        <v>3624910000</v>
      </c>
      <c r="H181">
        <v>0</v>
      </c>
      <c r="I181">
        <v>0</v>
      </c>
    </row>
    <row r="182" spans="1:9" x14ac:dyDescent="0.5">
      <c r="A182" s="1">
        <v>45561</v>
      </c>
      <c r="B182">
        <v>4.0386757171231302E-3</v>
      </c>
      <c r="C182">
        <v>5762.22021484375</v>
      </c>
      <c r="D182">
        <v>5767.3701171875</v>
      </c>
      <c r="E182">
        <v>5721.009765625</v>
      </c>
      <c r="F182">
        <v>5745.3701171875</v>
      </c>
      <c r="G182">
        <v>4391180000</v>
      </c>
      <c r="H182">
        <v>0</v>
      </c>
      <c r="I182">
        <v>0</v>
      </c>
    </row>
    <row r="183" spans="1:9" x14ac:dyDescent="0.5">
      <c r="A183" s="1">
        <v>45562</v>
      </c>
      <c r="B183">
        <v>-1.2532169669905401E-3</v>
      </c>
      <c r="C183">
        <v>5755.35986328125</v>
      </c>
      <c r="D183">
        <v>5763.77978515625</v>
      </c>
      <c r="E183">
        <v>5727.33984375</v>
      </c>
      <c r="F183">
        <v>5738.169921875</v>
      </c>
      <c r="G183">
        <v>3898530000</v>
      </c>
      <c r="H183">
        <v>0</v>
      </c>
      <c r="I183">
        <v>0</v>
      </c>
    </row>
    <row r="184" spans="1:9" x14ac:dyDescent="0.5">
      <c r="A184" s="1">
        <v>45565</v>
      </c>
      <c r="B184" s="28">
        <v>4.2365525811767198E-3</v>
      </c>
      <c r="C184">
        <v>5726.52001953125</v>
      </c>
      <c r="D184">
        <v>5765.14013671875</v>
      </c>
      <c r="E184">
        <v>5703.52978515625</v>
      </c>
      <c r="F184">
        <v>5762.47998046875</v>
      </c>
      <c r="G184">
        <v>4425730000</v>
      </c>
      <c r="H184">
        <v>0</v>
      </c>
      <c r="I184">
        <v>0</v>
      </c>
    </row>
    <row r="185" spans="1:9" x14ac:dyDescent="0.5">
      <c r="A185" s="1">
        <v>45566</v>
      </c>
      <c r="B185">
        <v>-9.3241070946643492E-3</v>
      </c>
      <c r="C185">
        <v>5757.72998046875</v>
      </c>
      <c r="D185">
        <v>5757.72998046875</v>
      </c>
      <c r="E185">
        <v>5681.27978515625</v>
      </c>
      <c r="F185">
        <v>5708.75</v>
      </c>
      <c r="G185">
        <v>4025180000</v>
      </c>
      <c r="H185">
        <v>0</v>
      </c>
      <c r="I185">
        <v>0</v>
      </c>
    </row>
    <row r="186" spans="1:9" x14ac:dyDescent="0.5">
      <c r="A186" s="1">
        <v>45567</v>
      </c>
      <c r="B186">
        <v>1.38390902123974E-4</v>
      </c>
      <c r="C186">
        <v>5698.14013671875</v>
      </c>
      <c r="D186">
        <v>5719.6298828125</v>
      </c>
      <c r="E186">
        <v>5674</v>
      </c>
      <c r="F186">
        <v>5709.5400390625</v>
      </c>
      <c r="G186">
        <v>3829050000</v>
      </c>
      <c r="H186">
        <v>0</v>
      </c>
      <c r="I186">
        <v>0</v>
      </c>
    </row>
    <row r="187" spans="1:9" x14ac:dyDescent="0.5">
      <c r="A187" s="1">
        <v>45568</v>
      </c>
      <c r="B187" s="28">
        <v>-1.68141349225503E-3</v>
      </c>
      <c r="C187">
        <v>5698.18994140625</v>
      </c>
      <c r="D187">
        <v>5718.77978515625</v>
      </c>
      <c r="E187">
        <v>5677.3701171875</v>
      </c>
      <c r="F187">
        <v>5699.93994140625</v>
      </c>
      <c r="G187">
        <v>3597450000</v>
      </c>
      <c r="H187">
        <v>0</v>
      </c>
      <c r="I187">
        <v>0</v>
      </c>
    </row>
    <row r="188" spans="1:9" x14ac:dyDescent="0.5">
      <c r="A188" s="1">
        <v>45569</v>
      </c>
      <c r="B188">
        <v>8.9702493952743493E-3</v>
      </c>
      <c r="C188">
        <v>5737.47998046875</v>
      </c>
      <c r="D188">
        <v>5753.2099609375</v>
      </c>
      <c r="E188">
        <v>5702.830078125</v>
      </c>
      <c r="F188">
        <v>5751.06982421875</v>
      </c>
      <c r="G188">
        <v>3479400000</v>
      </c>
      <c r="H188">
        <v>0</v>
      </c>
      <c r="I188">
        <v>0</v>
      </c>
    </row>
    <row r="189" spans="1:9" x14ac:dyDescent="0.5">
      <c r="A189" s="1">
        <v>45572</v>
      </c>
      <c r="B189">
        <v>-9.5860221658826596E-3</v>
      </c>
      <c r="C189">
        <v>5737.7998046875</v>
      </c>
      <c r="D189">
        <v>5739.33984375</v>
      </c>
      <c r="E189">
        <v>5686.85009765625</v>
      </c>
      <c r="F189">
        <v>5695.93994140625</v>
      </c>
      <c r="G189">
        <v>3637790000</v>
      </c>
      <c r="H189">
        <v>0</v>
      </c>
      <c r="I189">
        <v>0</v>
      </c>
    </row>
    <row r="190" spans="1:9" x14ac:dyDescent="0.5">
      <c r="A190" s="1">
        <v>45573</v>
      </c>
      <c r="B190">
        <v>9.6893474955819202E-3</v>
      </c>
      <c r="C190">
        <v>5719.14013671875</v>
      </c>
      <c r="D190">
        <v>5757.60009765625</v>
      </c>
      <c r="E190">
        <v>5714.56005859375</v>
      </c>
      <c r="F190">
        <v>5751.1298828125</v>
      </c>
      <c r="G190">
        <v>3393400000</v>
      </c>
      <c r="H190">
        <v>0</v>
      </c>
      <c r="I190">
        <v>0</v>
      </c>
    </row>
    <row r="191" spans="1:9" x14ac:dyDescent="0.5">
      <c r="A191" s="1">
        <v>45574</v>
      </c>
      <c r="B191">
        <v>7.11341198748827E-3</v>
      </c>
      <c r="C191">
        <v>5751.7998046875</v>
      </c>
      <c r="D191">
        <v>5796.7998046875</v>
      </c>
      <c r="E191">
        <v>5745.02001953125</v>
      </c>
      <c r="F191">
        <v>5792.0400390625</v>
      </c>
      <c r="G191">
        <v>3650340000</v>
      </c>
      <c r="H191">
        <v>0</v>
      </c>
      <c r="I191">
        <v>0</v>
      </c>
    </row>
    <row r="192" spans="1:9" x14ac:dyDescent="0.5">
      <c r="A192" s="1">
        <v>45575</v>
      </c>
      <c r="B192">
        <v>-2.0701228399899701E-3</v>
      </c>
      <c r="C192">
        <v>5778.35986328125</v>
      </c>
      <c r="D192">
        <v>5795.02978515625</v>
      </c>
      <c r="E192">
        <v>5764.759765625</v>
      </c>
      <c r="F192">
        <v>5780.0498046875</v>
      </c>
      <c r="G192">
        <v>3208790000</v>
      </c>
      <c r="H192">
        <v>0</v>
      </c>
      <c r="I192">
        <v>0</v>
      </c>
    </row>
    <row r="193" spans="1:9" x14ac:dyDescent="0.5">
      <c r="A193" s="1">
        <v>45576</v>
      </c>
      <c r="B193">
        <v>6.0518475879536198E-3</v>
      </c>
      <c r="C193">
        <v>5775.08984375</v>
      </c>
      <c r="D193">
        <v>5822.1298828125</v>
      </c>
      <c r="E193">
        <v>5775.08984375</v>
      </c>
      <c r="F193">
        <v>5815.02978515625</v>
      </c>
      <c r="G193">
        <v>3208720000</v>
      </c>
      <c r="H193">
        <v>0</v>
      </c>
      <c r="I193">
        <v>0</v>
      </c>
    </row>
    <row r="194" spans="1:9" x14ac:dyDescent="0.5">
      <c r="A194" s="1">
        <v>45579</v>
      </c>
      <c r="B194">
        <v>7.7076668832223296E-3</v>
      </c>
      <c r="C194">
        <v>5829.81005859375</v>
      </c>
      <c r="D194">
        <v>5871.41015625</v>
      </c>
      <c r="E194">
        <v>5829.56982421875</v>
      </c>
      <c r="F194">
        <v>5859.85009765625</v>
      </c>
      <c r="G194">
        <v>3005250000</v>
      </c>
      <c r="H194">
        <v>0</v>
      </c>
      <c r="I194">
        <v>0</v>
      </c>
    </row>
    <row r="195" spans="1:9" x14ac:dyDescent="0.5">
      <c r="A195" s="1">
        <v>45580</v>
      </c>
      <c r="B195" s="28">
        <v>-7.6094663324381903E-3</v>
      </c>
      <c r="C195">
        <v>5866.740234375</v>
      </c>
      <c r="D195">
        <v>5870.35986328125</v>
      </c>
      <c r="E195">
        <v>5804.47998046875</v>
      </c>
      <c r="F195">
        <v>5815.259765625</v>
      </c>
      <c r="G195">
        <v>3882120000</v>
      </c>
      <c r="H195">
        <v>0</v>
      </c>
      <c r="I195">
        <v>0</v>
      </c>
    </row>
    <row r="196" spans="1:9" x14ac:dyDescent="0.5">
      <c r="A196" s="1">
        <v>45581</v>
      </c>
      <c r="B196">
        <v>4.6791459565738098E-3</v>
      </c>
      <c r="C196">
        <v>5816.580078125</v>
      </c>
      <c r="D196">
        <v>5846.52001953125</v>
      </c>
      <c r="E196">
        <v>5808.33984375</v>
      </c>
      <c r="F196">
        <v>5842.47021484375</v>
      </c>
      <c r="G196">
        <v>3467230000</v>
      </c>
      <c r="H196">
        <v>0</v>
      </c>
      <c r="I196">
        <v>0</v>
      </c>
    </row>
    <row r="197" spans="1:9" x14ac:dyDescent="0.5">
      <c r="A197" s="1">
        <v>45582</v>
      </c>
      <c r="B197">
        <v>-1.7116047891174699E-4</v>
      </c>
      <c r="C197">
        <v>5875.6201171875</v>
      </c>
      <c r="D197">
        <v>5878.4599609375</v>
      </c>
      <c r="E197">
        <v>5840.25</v>
      </c>
      <c r="F197">
        <v>5841.47021484375</v>
      </c>
      <c r="G197">
        <v>3480010000</v>
      </c>
      <c r="H197">
        <v>0</v>
      </c>
      <c r="I197">
        <v>0</v>
      </c>
    </row>
    <row r="198" spans="1:9" x14ac:dyDescent="0.5">
      <c r="A198" s="1">
        <v>45583</v>
      </c>
      <c r="B198" s="28">
        <v>3.9715527389487804E-3</v>
      </c>
      <c r="C198">
        <v>5859.43017578125</v>
      </c>
      <c r="D198">
        <v>5872.169921875</v>
      </c>
      <c r="E198">
        <v>5846.10986328125</v>
      </c>
      <c r="F198">
        <v>5864.669921875</v>
      </c>
      <c r="G198">
        <v>3374490000</v>
      </c>
      <c r="H198">
        <v>0</v>
      </c>
      <c r="I198">
        <v>0</v>
      </c>
    </row>
    <row r="199" spans="1:9" x14ac:dyDescent="0.5">
      <c r="A199" s="1">
        <v>45586</v>
      </c>
      <c r="B199">
        <v>-1.82276949063697E-3</v>
      </c>
      <c r="C199">
        <v>5857.81982421875</v>
      </c>
      <c r="D199">
        <v>5866.919921875</v>
      </c>
      <c r="E199">
        <v>5824.7900390625</v>
      </c>
      <c r="F199">
        <v>5853.97998046875</v>
      </c>
      <c r="G199">
        <v>3407010000</v>
      </c>
      <c r="H199">
        <v>0</v>
      </c>
      <c r="I199">
        <v>0</v>
      </c>
    </row>
    <row r="200" spans="1:9" x14ac:dyDescent="0.5">
      <c r="A200" s="1">
        <v>45587</v>
      </c>
      <c r="B200">
        <v>-4.7485388838441802E-4</v>
      </c>
      <c r="C200">
        <v>5832.7001953125</v>
      </c>
      <c r="D200">
        <v>5863.0400390625</v>
      </c>
      <c r="E200">
        <v>5821.169921875</v>
      </c>
      <c r="F200">
        <v>5851.2001953125</v>
      </c>
      <c r="G200">
        <v>3342080000</v>
      </c>
      <c r="H200">
        <v>0</v>
      </c>
      <c r="I200">
        <v>0</v>
      </c>
    </row>
    <row r="201" spans="1:9" x14ac:dyDescent="0.5">
      <c r="A201" s="1">
        <v>45588</v>
      </c>
      <c r="B201">
        <v>-9.1913234280693798E-3</v>
      </c>
      <c r="C201">
        <v>5834.5</v>
      </c>
      <c r="D201">
        <v>5834.85009765625</v>
      </c>
      <c r="E201">
        <v>5762.41015625</v>
      </c>
      <c r="F201">
        <v>5797.419921875</v>
      </c>
      <c r="G201">
        <v>3532650000</v>
      </c>
      <c r="H201">
        <v>0</v>
      </c>
      <c r="I201">
        <v>0</v>
      </c>
    </row>
    <row r="202" spans="1:9" x14ac:dyDescent="0.5">
      <c r="A202" s="1">
        <v>45589</v>
      </c>
      <c r="B202">
        <v>2.1457720113238201E-3</v>
      </c>
      <c r="C202">
        <v>5817.7998046875</v>
      </c>
      <c r="D202">
        <v>5817.7998046875</v>
      </c>
      <c r="E202">
        <v>5784.919921875</v>
      </c>
      <c r="F202">
        <v>5809.85986328125</v>
      </c>
      <c r="G202">
        <v>3543030000</v>
      </c>
      <c r="H202">
        <v>0</v>
      </c>
      <c r="I202">
        <v>0</v>
      </c>
    </row>
    <row r="203" spans="1:9" x14ac:dyDescent="0.5">
      <c r="A203" s="1">
        <v>45590</v>
      </c>
      <c r="B203">
        <v>-2.99447169930133E-4</v>
      </c>
      <c r="C203">
        <v>5826.75</v>
      </c>
      <c r="D203">
        <v>5862.81982421875</v>
      </c>
      <c r="E203">
        <v>5799.97998046875</v>
      </c>
      <c r="F203">
        <v>5808.1201171875</v>
      </c>
      <c r="G203">
        <v>3501280000</v>
      </c>
      <c r="H203">
        <v>0</v>
      </c>
      <c r="I203">
        <v>0</v>
      </c>
    </row>
    <row r="204" spans="1:9" x14ac:dyDescent="0.5">
      <c r="A204" s="1">
        <v>45593</v>
      </c>
      <c r="B204">
        <v>2.6514435020339399E-3</v>
      </c>
      <c r="C204">
        <v>5833.93017578125</v>
      </c>
      <c r="D204">
        <v>5842.919921875</v>
      </c>
      <c r="E204">
        <v>5823.080078125</v>
      </c>
      <c r="F204">
        <v>5823.52001953125</v>
      </c>
      <c r="G204">
        <v>3691280000</v>
      </c>
      <c r="H204">
        <v>0</v>
      </c>
      <c r="I204">
        <v>0</v>
      </c>
    </row>
    <row r="205" spans="1:9" x14ac:dyDescent="0.5">
      <c r="A205" s="1">
        <v>45594</v>
      </c>
      <c r="B205">
        <v>1.6141272481633401E-3</v>
      </c>
      <c r="C205">
        <v>5819.68017578125</v>
      </c>
      <c r="D205">
        <v>5847.18994140625</v>
      </c>
      <c r="E205">
        <v>5802.169921875</v>
      </c>
      <c r="F205">
        <v>5832.919921875</v>
      </c>
      <c r="G205">
        <v>3879100000</v>
      </c>
      <c r="H205">
        <v>0</v>
      </c>
      <c r="I205">
        <v>0</v>
      </c>
    </row>
    <row r="206" spans="1:9" x14ac:dyDescent="0.5">
      <c r="A206" s="1">
        <v>45595</v>
      </c>
      <c r="B206">
        <v>-3.3002338893437502E-3</v>
      </c>
      <c r="C206">
        <v>5832.64990234375</v>
      </c>
      <c r="D206">
        <v>5850.93994140625</v>
      </c>
      <c r="E206">
        <v>5811.27978515625</v>
      </c>
      <c r="F206">
        <v>5813.669921875</v>
      </c>
      <c r="G206">
        <v>3851120000</v>
      </c>
      <c r="H206">
        <v>0</v>
      </c>
      <c r="I206">
        <v>0</v>
      </c>
    </row>
    <row r="207" spans="1:9" x14ac:dyDescent="0.5">
      <c r="A207" s="1">
        <v>45596</v>
      </c>
      <c r="B207">
        <v>-1.8614700871699499E-2</v>
      </c>
      <c r="C207">
        <v>5775.33984375</v>
      </c>
      <c r="D207">
        <v>5775.33984375</v>
      </c>
      <c r="E207">
        <v>5702.85986328125</v>
      </c>
      <c r="F207">
        <v>5705.4501953125</v>
      </c>
      <c r="G207">
        <v>4425660000</v>
      </c>
      <c r="H207">
        <v>0</v>
      </c>
      <c r="I207">
        <v>0</v>
      </c>
    </row>
    <row r="208" spans="1:9" x14ac:dyDescent="0.5">
      <c r="A208" s="1">
        <v>45597</v>
      </c>
      <c r="B208">
        <v>4.09250954362616E-3</v>
      </c>
      <c r="C208">
        <v>5723.22021484375</v>
      </c>
      <c r="D208">
        <v>5772.52001953125</v>
      </c>
      <c r="E208">
        <v>5723.22021484375</v>
      </c>
      <c r="F208">
        <v>5728.7998046875</v>
      </c>
      <c r="G208">
        <v>3796450000</v>
      </c>
      <c r="H208">
        <v>0</v>
      </c>
      <c r="I208">
        <v>0</v>
      </c>
    </row>
    <row r="209" spans="1:9" x14ac:dyDescent="0.5">
      <c r="A209" s="1">
        <v>45600</v>
      </c>
      <c r="B209">
        <v>-2.8120834782999699E-3</v>
      </c>
      <c r="C209">
        <v>5725.14990234375</v>
      </c>
      <c r="D209">
        <v>5741.43017578125</v>
      </c>
      <c r="E209">
        <v>5696.509765625</v>
      </c>
      <c r="F209">
        <v>5712.68994140625</v>
      </c>
      <c r="G209">
        <v>3602060000</v>
      </c>
      <c r="H209">
        <v>0</v>
      </c>
      <c r="I209">
        <v>0</v>
      </c>
    </row>
    <row r="210" spans="1:9" x14ac:dyDescent="0.5">
      <c r="A210" s="1">
        <v>45601</v>
      </c>
      <c r="B210">
        <v>1.2265644545291301E-2</v>
      </c>
      <c r="C210">
        <v>5722.43017578125</v>
      </c>
      <c r="D210">
        <v>5783.43994140625</v>
      </c>
      <c r="E210">
        <v>5722.10009765625</v>
      </c>
      <c r="F210">
        <v>5782.759765625</v>
      </c>
      <c r="G210">
        <v>3768310000</v>
      </c>
      <c r="H210">
        <v>0</v>
      </c>
      <c r="I210">
        <v>0</v>
      </c>
    </row>
    <row r="211" spans="1:9" x14ac:dyDescent="0.5">
      <c r="A211" s="1">
        <v>45602</v>
      </c>
      <c r="B211">
        <v>2.5295927786425899E-2</v>
      </c>
      <c r="C211">
        <v>5864.89013671875</v>
      </c>
      <c r="D211">
        <v>5936.14013671875</v>
      </c>
      <c r="E211">
        <v>5864.89013671875</v>
      </c>
      <c r="F211">
        <v>5929.0400390625</v>
      </c>
      <c r="G211">
        <v>6329530000</v>
      </c>
      <c r="H211">
        <v>0</v>
      </c>
      <c r="I211">
        <v>0</v>
      </c>
    </row>
    <row r="212" spans="1:9" x14ac:dyDescent="0.5">
      <c r="A212" s="1">
        <v>45603</v>
      </c>
      <c r="B212">
        <v>7.4312297274883301E-3</v>
      </c>
      <c r="C212">
        <v>5947.2099609375</v>
      </c>
      <c r="D212">
        <v>5983.83984375</v>
      </c>
      <c r="E212">
        <v>5947.2099609375</v>
      </c>
      <c r="F212">
        <v>5973.10009765625</v>
      </c>
      <c r="G212">
        <v>4925740000</v>
      </c>
      <c r="H212">
        <v>0</v>
      </c>
      <c r="I212">
        <v>0</v>
      </c>
    </row>
    <row r="213" spans="1:9" x14ac:dyDescent="0.5">
      <c r="A213" s="1">
        <v>45604</v>
      </c>
      <c r="B213">
        <v>3.7568333092317099E-3</v>
      </c>
      <c r="C213">
        <v>5976.759765625</v>
      </c>
      <c r="D213">
        <v>6012.4501953125</v>
      </c>
      <c r="E213">
        <v>5976.759765625</v>
      </c>
      <c r="F213">
        <v>5995.5400390625</v>
      </c>
      <c r="G213">
        <v>4666740000</v>
      </c>
      <c r="H213">
        <v>0</v>
      </c>
      <c r="I213">
        <v>0</v>
      </c>
    </row>
    <row r="214" spans="1:9" x14ac:dyDescent="0.5">
      <c r="A214" s="1">
        <v>45607</v>
      </c>
      <c r="B214">
        <v>9.6906342979874395E-4</v>
      </c>
      <c r="C214">
        <v>6008.85986328125</v>
      </c>
      <c r="D214">
        <v>6017.31005859375</v>
      </c>
      <c r="E214">
        <v>5986.68994140625</v>
      </c>
      <c r="F214">
        <v>6001.35009765625</v>
      </c>
      <c r="G214">
        <v>4333000000</v>
      </c>
      <c r="H214">
        <v>0</v>
      </c>
      <c r="I214">
        <v>0</v>
      </c>
    </row>
    <row r="215" spans="1:9" x14ac:dyDescent="0.5">
      <c r="A215" s="1">
        <v>45608</v>
      </c>
      <c r="B215">
        <v>-2.8926596513724201E-3</v>
      </c>
      <c r="C215">
        <v>6003.60009765625</v>
      </c>
      <c r="D215">
        <v>6009.919921875</v>
      </c>
      <c r="E215">
        <v>5960.080078125</v>
      </c>
      <c r="F215">
        <v>5983.990234375</v>
      </c>
      <c r="G215">
        <v>4243400000</v>
      </c>
      <c r="H215">
        <v>0</v>
      </c>
      <c r="I215">
        <v>0</v>
      </c>
    </row>
    <row r="216" spans="1:9" x14ac:dyDescent="0.5">
      <c r="A216" s="1">
        <v>45609</v>
      </c>
      <c r="B216">
        <v>2.3222772482434E-4</v>
      </c>
      <c r="C216">
        <v>5985.75</v>
      </c>
      <c r="D216">
        <v>6008.18994140625</v>
      </c>
      <c r="E216">
        <v>5965.91015625</v>
      </c>
      <c r="F216">
        <v>5985.3798828125</v>
      </c>
      <c r="G216">
        <v>4220180000</v>
      </c>
      <c r="H216">
        <v>0</v>
      </c>
      <c r="I216">
        <v>0</v>
      </c>
    </row>
    <row r="217" spans="1:9" x14ac:dyDescent="0.5">
      <c r="A217" s="1">
        <v>45610</v>
      </c>
      <c r="B217">
        <v>-6.0497347948590399E-3</v>
      </c>
      <c r="C217">
        <v>5989.68017578125</v>
      </c>
      <c r="D217">
        <v>5993.8798828125</v>
      </c>
      <c r="E217">
        <v>5942.27978515625</v>
      </c>
      <c r="F217">
        <v>5949.169921875</v>
      </c>
      <c r="G217">
        <v>4184570000</v>
      </c>
      <c r="H217">
        <v>0</v>
      </c>
      <c r="I217">
        <v>0</v>
      </c>
    </row>
    <row r="218" spans="1:9" x14ac:dyDescent="0.5">
      <c r="A218" s="1">
        <v>45611</v>
      </c>
      <c r="B218">
        <v>-1.3203489851361201E-2</v>
      </c>
      <c r="C218">
        <v>5912.7900390625</v>
      </c>
      <c r="D218">
        <v>5915.31982421875</v>
      </c>
      <c r="E218">
        <v>5853.009765625</v>
      </c>
      <c r="F218">
        <v>5870.6201171875</v>
      </c>
      <c r="G218">
        <v>4590960000</v>
      </c>
      <c r="H218">
        <v>0</v>
      </c>
      <c r="I218">
        <v>0</v>
      </c>
    </row>
    <row r="219" spans="1:9" x14ac:dyDescent="0.5">
      <c r="A219" s="1">
        <v>45614</v>
      </c>
      <c r="B219">
        <v>3.9178143945410799E-3</v>
      </c>
      <c r="C219">
        <v>5874.169921875</v>
      </c>
      <c r="D219">
        <v>5908.1201171875</v>
      </c>
      <c r="E219">
        <v>5865.9501953125</v>
      </c>
      <c r="F219">
        <v>5893.6201171875</v>
      </c>
      <c r="G219">
        <v>3983860000</v>
      </c>
      <c r="H219">
        <v>0</v>
      </c>
      <c r="I219">
        <v>0</v>
      </c>
    </row>
    <row r="220" spans="1:9" x14ac:dyDescent="0.5">
      <c r="A220" s="1">
        <v>45615</v>
      </c>
      <c r="B220">
        <v>3.9635848284700296E-3</v>
      </c>
      <c r="C220">
        <v>5870.0498046875</v>
      </c>
      <c r="D220">
        <v>5923.509765625</v>
      </c>
      <c r="E220">
        <v>5855.2900390625</v>
      </c>
      <c r="F220">
        <v>5916.97998046875</v>
      </c>
      <c r="G220">
        <v>4036940000</v>
      </c>
      <c r="H220">
        <v>0</v>
      </c>
      <c r="I220">
        <v>0</v>
      </c>
    </row>
    <row r="221" spans="1:9" x14ac:dyDescent="0.5">
      <c r="A221" s="1">
        <v>45616</v>
      </c>
      <c r="B221" s="28">
        <v>2.1950862252095799E-5</v>
      </c>
      <c r="C221">
        <v>5914.33984375</v>
      </c>
      <c r="D221">
        <v>5920.669921875</v>
      </c>
      <c r="E221">
        <v>5860.56005859375</v>
      </c>
      <c r="F221">
        <v>5917.10986328125</v>
      </c>
      <c r="G221">
        <v>3772620000</v>
      </c>
      <c r="H221">
        <v>0</v>
      </c>
      <c r="I221">
        <v>0</v>
      </c>
    </row>
    <row r="222" spans="1:9" x14ac:dyDescent="0.5">
      <c r="A222" s="1">
        <v>45617</v>
      </c>
      <c r="B222">
        <v>5.3404615405816501E-3</v>
      </c>
      <c r="C222">
        <v>5940.580078125</v>
      </c>
      <c r="D222">
        <v>5963.31982421875</v>
      </c>
      <c r="E222">
        <v>5887.259765625</v>
      </c>
      <c r="F222">
        <v>5948.7099609375</v>
      </c>
      <c r="G222">
        <v>4230120000</v>
      </c>
      <c r="H222">
        <v>0</v>
      </c>
      <c r="I222">
        <v>0</v>
      </c>
    </row>
    <row r="223" spans="1:9" x14ac:dyDescent="0.5">
      <c r="A223" s="1">
        <v>45618</v>
      </c>
      <c r="B223" s="28">
        <v>3.4679590949915299E-3</v>
      </c>
      <c r="C223">
        <v>5944.35986328125</v>
      </c>
      <c r="D223">
        <v>5972.89990234375</v>
      </c>
      <c r="E223">
        <v>5944.35986328125</v>
      </c>
      <c r="F223">
        <v>5969.33984375</v>
      </c>
      <c r="G223">
        <v>4141420000</v>
      </c>
      <c r="H223">
        <v>0</v>
      </c>
      <c r="I223">
        <v>0</v>
      </c>
    </row>
    <row r="224" spans="1:9" x14ac:dyDescent="0.5">
      <c r="A224" s="1">
        <v>45621</v>
      </c>
      <c r="B224">
        <v>3.02048030593837E-3</v>
      </c>
      <c r="C224">
        <v>5992.27978515625</v>
      </c>
      <c r="D224">
        <v>6020.75</v>
      </c>
      <c r="E224">
        <v>5963.91015625</v>
      </c>
      <c r="F224">
        <v>5987.3701171875</v>
      </c>
      <c r="G224">
        <v>5633150000</v>
      </c>
      <c r="H224">
        <v>0</v>
      </c>
      <c r="I224">
        <v>0</v>
      </c>
    </row>
    <row r="225" spans="1:9" x14ac:dyDescent="0.5">
      <c r="A225" s="1">
        <v>45622</v>
      </c>
      <c r="B225">
        <v>5.7220056476303604E-3</v>
      </c>
      <c r="C225">
        <v>6000.02978515625</v>
      </c>
      <c r="D225">
        <v>6025.419921875</v>
      </c>
      <c r="E225">
        <v>5992.27001953125</v>
      </c>
      <c r="F225">
        <v>6021.6298828125</v>
      </c>
      <c r="G225">
        <v>3835170000</v>
      </c>
      <c r="H225">
        <v>0</v>
      </c>
      <c r="I225">
        <v>0</v>
      </c>
    </row>
    <row r="226" spans="1:9" x14ac:dyDescent="0.5">
      <c r="A226" s="1">
        <v>45623</v>
      </c>
      <c r="B226">
        <v>-3.8012380174400301E-3</v>
      </c>
      <c r="C226">
        <v>6014.10986328125</v>
      </c>
      <c r="D226">
        <v>6020.16015625</v>
      </c>
      <c r="E226">
        <v>5984.8701171875</v>
      </c>
      <c r="F226">
        <v>5998.740234375</v>
      </c>
      <c r="G226">
        <v>3363340000</v>
      </c>
      <c r="H226">
        <v>0</v>
      </c>
      <c r="I226">
        <v>0</v>
      </c>
    </row>
    <row r="227" spans="1:9" x14ac:dyDescent="0.5">
      <c r="A227" s="1">
        <v>45625</v>
      </c>
      <c r="B227">
        <v>5.6077854888152397E-3</v>
      </c>
      <c r="C227">
        <v>6003.97998046875</v>
      </c>
      <c r="D227">
        <v>6044.169921875</v>
      </c>
      <c r="E227">
        <v>6003.97998046875</v>
      </c>
      <c r="F227">
        <v>6032.3798828125</v>
      </c>
      <c r="G227">
        <v>2444420000</v>
      </c>
      <c r="H227">
        <v>0</v>
      </c>
      <c r="I227">
        <v>0</v>
      </c>
    </row>
    <row r="228" spans="1:9" x14ac:dyDescent="0.5">
      <c r="A228" s="1">
        <v>45628</v>
      </c>
      <c r="B228">
        <v>2.4484564662998701E-3</v>
      </c>
      <c r="C228">
        <v>6040.10986328125</v>
      </c>
      <c r="D228">
        <v>6053.580078125</v>
      </c>
      <c r="E228">
        <v>6035.330078125</v>
      </c>
      <c r="F228">
        <v>6047.14990234375</v>
      </c>
      <c r="G228">
        <v>4412470000</v>
      </c>
      <c r="H228">
        <v>0</v>
      </c>
      <c r="I228">
        <v>0</v>
      </c>
    </row>
    <row r="229" spans="1:9" x14ac:dyDescent="0.5">
      <c r="A229" s="1">
        <v>45629</v>
      </c>
      <c r="B229">
        <v>4.5144911451466802E-4</v>
      </c>
      <c r="C229">
        <v>6042.97021484375</v>
      </c>
      <c r="D229">
        <v>6052.06982421875</v>
      </c>
      <c r="E229">
        <v>6033.39013671875</v>
      </c>
      <c r="F229">
        <v>6049.8798828125</v>
      </c>
      <c r="G229">
        <v>4095000000</v>
      </c>
      <c r="H229">
        <v>0</v>
      </c>
      <c r="I229">
        <v>0</v>
      </c>
    </row>
    <row r="230" spans="1:9" x14ac:dyDescent="0.5">
      <c r="A230" s="1">
        <v>45630</v>
      </c>
      <c r="B230">
        <v>6.0514179242647697E-3</v>
      </c>
      <c r="C230">
        <v>6069.39013671875</v>
      </c>
      <c r="D230">
        <v>6089.83984375</v>
      </c>
      <c r="E230">
        <v>6061.06005859375</v>
      </c>
      <c r="F230">
        <v>6086.490234375</v>
      </c>
      <c r="G230">
        <v>4003390000</v>
      </c>
      <c r="H230">
        <v>0</v>
      </c>
      <c r="I230">
        <v>0</v>
      </c>
    </row>
    <row r="231" spans="1:9" x14ac:dyDescent="0.5">
      <c r="A231" s="1">
        <v>45631</v>
      </c>
      <c r="B231">
        <v>-1.8697756269248E-3</v>
      </c>
      <c r="C231">
        <v>6089.02978515625</v>
      </c>
      <c r="D231">
        <v>6094.5498046875</v>
      </c>
      <c r="E231">
        <v>6072.89990234375</v>
      </c>
      <c r="F231">
        <v>6075.10986328125</v>
      </c>
      <c r="G231">
        <v>4212020000</v>
      </c>
      <c r="H231">
        <v>0</v>
      </c>
      <c r="I231">
        <v>0</v>
      </c>
    </row>
    <row r="232" spans="1:9" x14ac:dyDescent="0.5">
      <c r="A232" s="1">
        <v>45632</v>
      </c>
      <c r="B232">
        <v>2.4954538421815202E-3</v>
      </c>
      <c r="C232">
        <v>6081.3798828125</v>
      </c>
      <c r="D232">
        <v>6099.97021484375</v>
      </c>
      <c r="E232">
        <v>6079.97998046875</v>
      </c>
      <c r="F232">
        <v>6090.27001953125</v>
      </c>
      <c r="G232">
        <v>3924830000</v>
      </c>
      <c r="H232">
        <v>0</v>
      </c>
      <c r="I232">
        <v>0</v>
      </c>
    </row>
    <row r="233" spans="1:9" x14ac:dyDescent="0.5">
      <c r="A233" s="1">
        <v>45635</v>
      </c>
      <c r="B233">
        <v>-6.1442139272964696E-3</v>
      </c>
      <c r="C233">
        <v>6083.009765625</v>
      </c>
      <c r="D233">
        <v>6088.509765625</v>
      </c>
      <c r="E233">
        <v>6048.6298828125</v>
      </c>
      <c r="F233">
        <v>6052.85009765625</v>
      </c>
      <c r="G233">
        <v>4556460000</v>
      </c>
      <c r="H233">
        <v>0</v>
      </c>
      <c r="I233">
        <v>0</v>
      </c>
    </row>
    <row r="234" spans="1:9" x14ac:dyDescent="0.5">
      <c r="A234" s="1">
        <v>45636</v>
      </c>
      <c r="B234">
        <v>-2.9638833139443701E-3</v>
      </c>
      <c r="C234">
        <v>6057.58984375</v>
      </c>
      <c r="D234">
        <v>6065.39990234375</v>
      </c>
      <c r="E234">
        <v>6029.89013671875</v>
      </c>
      <c r="F234">
        <v>6034.91015625</v>
      </c>
      <c r="G234">
        <v>4048410000</v>
      </c>
      <c r="H234">
        <v>0</v>
      </c>
      <c r="I234">
        <v>0</v>
      </c>
    </row>
    <row r="235" spans="1:9" x14ac:dyDescent="0.5">
      <c r="A235" s="1">
        <v>45637</v>
      </c>
      <c r="B235">
        <v>8.1657860482335903E-3</v>
      </c>
      <c r="C235">
        <v>6060.14990234375</v>
      </c>
      <c r="D235">
        <v>6092.58984375</v>
      </c>
      <c r="E235">
        <v>6060.14990234375</v>
      </c>
      <c r="F235">
        <v>6084.18994140625</v>
      </c>
      <c r="G235">
        <v>4269950000</v>
      </c>
      <c r="H235">
        <v>0</v>
      </c>
      <c r="I235">
        <v>0</v>
      </c>
    </row>
    <row r="236" spans="1:9" x14ac:dyDescent="0.5">
      <c r="A236" s="1">
        <v>45638</v>
      </c>
      <c r="B236">
        <v>-5.4140225278102002E-3</v>
      </c>
      <c r="C236">
        <v>6074.2900390625</v>
      </c>
      <c r="D236">
        <v>6079.68017578125</v>
      </c>
      <c r="E236">
        <v>6051.25</v>
      </c>
      <c r="F236">
        <v>6051.25</v>
      </c>
      <c r="G236">
        <v>3678010000</v>
      </c>
      <c r="H236">
        <v>0</v>
      </c>
      <c r="I236">
        <v>0</v>
      </c>
    </row>
    <row r="237" spans="1:9" x14ac:dyDescent="0.5">
      <c r="A237" s="1">
        <v>45639</v>
      </c>
      <c r="B237" s="28">
        <v>-2.64666391242007E-5</v>
      </c>
      <c r="C237">
        <v>6068.169921875</v>
      </c>
      <c r="D237">
        <v>6078.580078125</v>
      </c>
      <c r="E237">
        <v>6035.77001953125</v>
      </c>
      <c r="F237">
        <v>6051.08984375</v>
      </c>
      <c r="G237">
        <v>3584960000</v>
      </c>
      <c r="H237">
        <v>0</v>
      </c>
      <c r="I237">
        <v>0</v>
      </c>
    </row>
    <row r="238" spans="1:9" x14ac:dyDescent="0.5">
      <c r="A238" s="1">
        <v>45642</v>
      </c>
      <c r="B238">
        <v>3.7993543260221802E-3</v>
      </c>
      <c r="C238">
        <v>6063.7900390625</v>
      </c>
      <c r="D238">
        <v>6085.18994140625</v>
      </c>
      <c r="E238">
        <v>6059.14013671875</v>
      </c>
      <c r="F238">
        <v>6074.080078125</v>
      </c>
      <c r="G238">
        <v>4391100000</v>
      </c>
      <c r="H238">
        <v>0</v>
      </c>
      <c r="I238">
        <v>0</v>
      </c>
    </row>
    <row r="239" spans="1:9" x14ac:dyDescent="0.5">
      <c r="A239" s="1">
        <v>45643</v>
      </c>
      <c r="B239" s="28">
        <v>-3.86399496580147E-3</v>
      </c>
      <c r="C239">
        <v>6052.5498046875</v>
      </c>
      <c r="D239">
        <v>6057.68017578125</v>
      </c>
      <c r="E239">
        <v>6035.18994140625</v>
      </c>
      <c r="F239">
        <v>6050.60986328125</v>
      </c>
      <c r="G239">
        <v>4544500000</v>
      </c>
      <c r="H239">
        <v>0</v>
      </c>
      <c r="I239">
        <v>0</v>
      </c>
    </row>
    <row r="240" spans="1:9" x14ac:dyDescent="0.5">
      <c r="A240" s="1">
        <v>45644</v>
      </c>
      <c r="B240" s="28">
        <v>-2.9492846351603399E-2</v>
      </c>
      <c r="C240">
        <v>6047.64990234375</v>
      </c>
      <c r="D240">
        <v>6070.669921875</v>
      </c>
      <c r="E240">
        <v>5867.7900390625</v>
      </c>
      <c r="F240">
        <v>5872.16015625</v>
      </c>
      <c r="G240">
        <v>5246960000</v>
      </c>
      <c r="H240">
        <v>0</v>
      </c>
      <c r="I240">
        <v>0</v>
      </c>
    </row>
    <row r="241" spans="1:9" x14ac:dyDescent="0.5">
      <c r="A241" s="1">
        <v>45645</v>
      </c>
      <c r="B241">
        <v>-8.6511232490704595E-4</v>
      </c>
      <c r="C241">
        <v>5912.7099609375</v>
      </c>
      <c r="D241">
        <v>5935.52001953125</v>
      </c>
      <c r="E241">
        <v>5866.06982421875</v>
      </c>
      <c r="F241">
        <v>5867.080078125</v>
      </c>
      <c r="G241">
        <v>4896880000</v>
      </c>
      <c r="H241">
        <v>0</v>
      </c>
      <c r="I241">
        <v>0</v>
      </c>
    </row>
    <row r="242" spans="1:9" x14ac:dyDescent="0.5">
      <c r="A242" s="1">
        <v>45646</v>
      </c>
      <c r="B242">
        <v>1.08691237689104E-2</v>
      </c>
      <c r="C242">
        <v>5842</v>
      </c>
      <c r="D242">
        <v>5982.06005859375</v>
      </c>
      <c r="E242">
        <v>5832.2998046875</v>
      </c>
      <c r="F242">
        <v>5930.85009765625</v>
      </c>
      <c r="G242">
        <v>8223220000</v>
      </c>
      <c r="H242">
        <v>0</v>
      </c>
      <c r="I242">
        <v>0</v>
      </c>
    </row>
    <row r="243" spans="1:9" x14ac:dyDescent="0.5">
      <c r="A243" s="1">
        <v>45649</v>
      </c>
      <c r="B243">
        <v>7.2872734685336298E-3</v>
      </c>
      <c r="C243">
        <v>5940.25</v>
      </c>
      <c r="D243">
        <v>5978.25</v>
      </c>
      <c r="E243">
        <v>5902.56982421875</v>
      </c>
      <c r="F243">
        <v>5974.06982421875</v>
      </c>
      <c r="G243">
        <v>3593280000</v>
      </c>
      <c r="H243">
        <v>0</v>
      </c>
      <c r="I243">
        <v>0</v>
      </c>
    </row>
    <row r="244" spans="1:9" x14ac:dyDescent="0.5">
      <c r="A244" s="1">
        <v>45650</v>
      </c>
      <c r="B244">
        <v>1.1042759255392101E-2</v>
      </c>
      <c r="C244">
        <v>5984.6298828125</v>
      </c>
      <c r="D244">
        <v>6040.10009765625</v>
      </c>
      <c r="E244">
        <v>5981.43994140625</v>
      </c>
      <c r="F244">
        <v>6040.0400390625</v>
      </c>
      <c r="G244">
        <v>1757720000</v>
      </c>
      <c r="H244">
        <v>0</v>
      </c>
      <c r="I244">
        <v>0</v>
      </c>
    </row>
    <row r="245" spans="1:9" x14ac:dyDescent="0.5">
      <c r="A245" s="1">
        <v>45652</v>
      </c>
      <c r="B245">
        <v>-4.0565878647391598E-4</v>
      </c>
      <c r="C245">
        <v>6024.97021484375</v>
      </c>
      <c r="D245">
        <v>6049.75</v>
      </c>
      <c r="E245">
        <v>6007.3701171875</v>
      </c>
      <c r="F245">
        <v>6037.58984375</v>
      </c>
      <c r="G245">
        <v>2904530000</v>
      </c>
      <c r="H245">
        <v>0</v>
      </c>
      <c r="I245">
        <v>0</v>
      </c>
    </row>
    <row r="246" spans="1:9" x14ac:dyDescent="0.5">
      <c r="A246" s="1">
        <v>45653</v>
      </c>
      <c r="B246">
        <v>-1.1055736101235499E-2</v>
      </c>
      <c r="C246">
        <v>6006.169921875</v>
      </c>
      <c r="D246">
        <v>6006.169921875</v>
      </c>
      <c r="E246">
        <v>5932.9501953125</v>
      </c>
      <c r="F246">
        <v>5970.83984375</v>
      </c>
      <c r="G246">
        <v>3159610000</v>
      </c>
      <c r="H246">
        <v>0</v>
      </c>
      <c r="I246">
        <v>0</v>
      </c>
    </row>
    <row r="247" spans="1:9" x14ac:dyDescent="0.5">
      <c r="A247" s="1">
        <v>45656</v>
      </c>
      <c r="B247">
        <v>-1.0701995701766699E-2</v>
      </c>
      <c r="C247">
        <v>5920.669921875</v>
      </c>
      <c r="D247">
        <v>5940.7900390625</v>
      </c>
      <c r="E247">
        <v>5869.16015625</v>
      </c>
      <c r="F247">
        <v>5906.93994140625</v>
      </c>
      <c r="G247">
        <v>3433250000</v>
      </c>
      <c r="H247">
        <v>0</v>
      </c>
      <c r="I247">
        <v>0</v>
      </c>
    </row>
    <row r="248" spans="1:9" x14ac:dyDescent="0.5">
      <c r="A248" s="1">
        <v>45657</v>
      </c>
      <c r="B248">
        <v>-4.2848003949273999E-3</v>
      </c>
      <c r="C248">
        <v>5919.740234375</v>
      </c>
      <c r="D248">
        <v>5929.740234375</v>
      </c>
      <c r="E248">
        <v>5868.85986328125</v>
      </c>
      <c r="F248">
        <v>5881.6298828125</v>
      </c>
      <c r="G248">
        <v>3128350000</v>
      </c>
      <c r="H248">
        <v>0</v>
      </c>
      <c r="I248">
        <v>0</v>
      </c>
    </row>
    <row r="249" spans="1:9" x14ac:dyDescent="0.5">
      <c r="A249" s="1">
        <v>45659</v>
      </c>
      <c r="B249">
        <v>-2.2238866412221899E-3</v>
      </c>
      <c r="C249">
        <v>5903.259765625</v>
      </c>
      <c r="D249">
        <v>5935.08984375</v>
      </c>
      <c r="E249">
        <v>5829.52978515625</v>
      </c>
      <c r="F249">
        <v>5868.5498046875</v>
      </c>
      <c r="G249">
        <v>3621680000</v>
      </c>
      <c r="H249">
        <v>0</v>
      </c>
      <c r="I249">
        <v>0</v>
      </c>
    </row>
    <row r="250" spans="1:9" x14ac:dyDescent="0.5">
      <c r="A250" s="1">
        <v>45660</v>
      </c>
      <c r="B250">
        <v>1.2596026721491901E-2</v>
      </c>
      <c r="C250">
        <v>5891.06982421875</v>
      </c>
      <c r="D250">
        <v>5949.33984375</v>
      </c>
      <c r="E250">
        <v>5888.66015625</v>
      </c>
      <c r="F250">
        <v>5942.47021484375</v>
      </c>
      <c r="G250">
        <v>3667340000</v>
      </c>
      <c r="H250">
        <v>0</v>
      </c>
      <c r="I250">
        <v>0</v>
      </c>
    </row>
    <row r="251" spans="1:9" x14ac:dyDescent="0.5">
      <c r="A251" s="1">
        <v>45663</v>
      </c>
      <c r="B251">
        <v>5.5380450854502997E-3</v>
      </c>
      <c r="C251">
        <v>5982.81005859375</v>
      </c>
      <c r="D251">
        <v>6021.0400390625</v>
      </c>
      <c r="E251">
        <v>5960.009765625</v>
      </c>
      <c r="F251">
        <v>5975.3798828125</v>
      </c>
      <c r="G251">
        <v>4940120000</v>
      </c>
      <c r="H251">
        <v>0</v>
      </c>
      <c r="I251">
        <v>0</v>
      </c>
    </row>
    <row r="252" spans="1:9" x14ac:dyDescent="0.5">
      <c r="A252" s="1">
        <v>45664</v>
      </c>
      <c r="B252">
        <v>-6.9150121045193904E-3</v>
      </c>
      <c r="C252">
        <v>5993.259765625</v>
      </c>
      <c r="D252">
        <v>6000.68017578125</v>
      </c>
      <c r="E252">
        <v>5919.4599609375</v>
      </c>
      <c r="F252">
        <v>5934.06005859375</v>
      </c>
      <c r="G252">
        <v>1431675000</v>
      </c>
      <c r="H252">
        <v>0</v>
      </c>
      <c r="I252">
        <v>0</v>
      </c>
    </row>
    <row r="253" spans="1:9" x14ac:dyDescent="0.5">
      <c r="A253" s="1"/>
    </row>
    <row r="254" spans="1:9" x14ac:dyDescent="0.5">
      <c r="A254" s="1"/>
    </row>
    <row r="255" spans="1:9" x14ac:dyDescent="0.5">
      <c r="A255" s="1"/>
    </row>
    <row r="256" spans="1:9" x14ac:dyDescent="0.5">
      <c r="A256" s="1"/>
    </row>
    <row r="257" spans="1:1" x14ac:dyDescent="0.5">
      <c r="A257" s="1"/>
    </row>
    <row r="258" spans="1:1" x14ac:dyDescent="0.5">
      <c r="A258" s="1"/>
    </row>
    <row r="259" spans="1:1" x14ac:dyDescent="0.5">
      <c r="A259" s="1"/>
    </row>
    <row r="260" spans="1:1" x14ac:dyDescent="0.5">
      <c r="A260" s="1"/>
    </row>
    <row r="261" spans="1:1" x14ac:dyDescent="0.5">
      <c r="A261" s="1"/>
    </row>
    <row r="262" spans="1:1" x14ac:dyDescent="0.5">
      <c r="A262" s="1"/>
    </row>
    <row r="263" spans="1:1" x14ac:dyDescent="0.5">
      <c r="A263" s="1"/>
    </row>
    <row r="264" spans="1:1" x14ac:dyDescent="0.5">
      <c r="A264" s="1"/>
    </row>
    <row r="265" spans="1:1" x14ac:dyDescent="0.5">
      <c r="A265" s="1"/>
    </row>
    <row r="266" spans="1:1" x14ac:dyDescent="0.5">
      <c r="A266" s="1"/>
    </row>
    <row r="267" spans="1:1" x14ac:dyDescent="0.5">
      <c r="A267" s="1"/>
    </row>
    <row r="268" spans="1:1" x14ac:dyDescent="0.5">
      <c r="A268" s="1"/>
    </row>
    <row r="269" spans="1:1" x14ac:dyDescent="0.5">
      <c r="A269" s="1"/>
    </row>
    <row r="270" spans="1:1" x14ac:dyDescent="0.5">
      <c r="A270" s="1"/>
    </row>
    <row r="271" spans="1:1" x14ac:dyDescent="0.5">
      <c r="A271" s="1"/>
    </row>
    <row r="272" spans="1:1" x14ac:dyDescent="0.5">
      <c r="A272" s="1"/>
    </row>
    <row r="273" spans="1:1" x14ac:dyDescent="0.5">
      <c r="A273" s="1"/>
    </row>
    <row r="274" spans="1:1" x14ac:dyDescent="0.5">
      <c r="A274" s="1"/>
    </row>
    <row r="275" spans="1:1" x14ac:dyDescent="0.5">
      <c r="A275" s="1"/>
    </row>
    <row r="276" spans="1:1" x14ac:dyDescent="0.5">
      <c r="A276" s="1"/>
    </row>
    <row r="277" spans="1:1" x14ac:dyDescent="0.5">
      <c r="A277" s="1"/>
    </row>
    <row r="278" spans="1:1" x14ac:dyDescent="0.5">
      <c r="A278" s="1"/>
    </row>
    <row r="279" spans="1:1" x14ac:dyDescent="0.5">
      <c r="A279" s="1"/>
    </row>
    <row r="280" spans="1:1" x14ac:dyDescent="0.5">
      <c r="A280" s="1"/>
    </row>
    <row r="281" spans="1:1" x14ac:dyDescent="0.5">
      <c r="A281" s="1"/>
    </row>
    <row r="282" spans="1:1" x14ac:dyDescent="0.5">
      <c r="A282" s="1"/>
    </row>
    <row r="283" spans="1:1" x14ac:dyDescent="0.5">
      <c r="A283" s="1"/>
    </row>
    <row r="284" spans="1:1" x14ac:dyDescent="0.5">
      <c r="A284" s="1"/>
    </row>
    <row r="285" spans="1:1" x14ac:dyDescent="0.5">
      <c r="A285" s="1"/>
    </row>
    <row r="286" spans="1:1" x14ac:dyDescent="0.5">
      <c r="A286" s="1"/>
    </row>
    <row r="287" spans="1:1" x14ac:dyDescent="0.5">
      <c r="A287" s="1"/>
    </row>
    <row r="288" spans="1:1" x14ac:dyDescent="0.5">
      <c r="A288" s="1"/>
    </row>
    <row r="289" spans="1:1" x14ac:dyDescent="0.5">
      <c r="A289" s="1"/>
    </row>
    <row r="290" spans="1:1" x14ac:dyDescent="0.5">
      <c r="A290" s="1"/>
    </row>
    <row r="291" spans="1:1" x14ac:dyDescent="0.5">
      <c r="A291" s="1"/>
    </row>
    <row r="292" spans="1:1" x14ac:dyDescent="0.5">
      <c r="A292" s="1"/>
    </row>
    <row r="293" spans="1:1" x14ac:dyDescent="0.5">
      <c r="A293" s="1"/>
    </row>
    <row r="294" spans="1:1" x14ac:dyDescent="0.5">
      <c r="A294" s="1"/>
    </row>
    <row r="295" spans="1:1" x14ac:dyDescent="0.5">
      <c r="A295" s="1"/>
    </row>
    <row r="296" spans="1:1" x14ac:dyDescent="0.5">
      <c r="A296" s="1"/>
    </row>
    <row r="297" spans="1:1" x14ac:dyDescent="0.5">
      <c r="A297" s="1"/>
    </row>
    <row r="298" spans="1:1" x14ac:dyDescent="0.5">
      <c r="A298" s="1"/>
    </row>
    <row r="299" spans="1:1" x14ac:dyDescent="0.5">
      <c r="A299" s="1"/>
    </row>
    <row r="300" spans="1:1" x14ac:dyDescent="0.5">
      <c r="A300" s="1"/>
    </row>
    <row r="301" spans="1:1" x14ac:dyDescent="0.5">
      <c r="A301" s="1"/>
    </row>
    <row r="302" spans="1:1" x14ac:dyDescent="0.5">
      <c r="A302" s="1"/>
    </row>
    <row r="303" spans="1:1" x14ac:dyDescent="0.5">
      <c r="A303" s="1"/>
    </row>
    <row r="304" spans="1:1" x14ac:dyDescent="0.5">
      <c r="A304" s="1"/>
    </row>
    <row r="305" spans="1:1" x14ac:dyDescent="0.5">
      <c r="A305" s="1"/>
    </row>
    <row r="306" spans="1:1" x14ac:dyDescent="0.5">
      <c r="A306" s="1"/>
    </row>
    <row r="307" spans="1:1" x14ac:dyDescent="0.5">
      <c r="A307" s="1"/>
    </row>
    <row r="308" spans="1:1" x14ac:dyDescent="0.5">
      <c r="A308" s="1"/>
    </row>
    <row r="309" spans="1:1" x14ac:dyDescent="0.5">
      <c r="A309" s="1"/>
    </row>
    <row r="310" spans="1:1" x14ac:dyDescent="0.5">
      <c r="A310" s="1"/>
    </row>
    <row r="311" spans="1:1" x14ac:dyDescent="0.5">
      <c r="A311" s="1"/>
    </row>
    <row r="312" spans="1:1" x14ac:dyDescent="0.5">
      <c r="A312" s="1"/>
    </row>
    <row r="313" spans="1:1" x14ac:dyDescent="0.5">
      <c r="A313" s="1"/>
    </row>
    <row r="314" spans="1:1" x14ac:dyDescent="0.5">
      <c r="A314" s="1"/>
    </row>
    <row r="315" spans="1:1" x14ac:dyDescent="0.5">
      <c r="A315" s="1"/>
    </row>
    <row r="316" spans="1:1" x14ac:dyDescent="0.5">
      <c r="A316" s="1"/>
    </row>
    <row r="317" spans="1:1" x14ac:dyDescent="0.5">
      <c r="A317" s="1"/>
    </row>
    <row r="318" spans="1:1" x14ac:dyDescent="0.5">
      <c r="A318" s="1"/>
    </row>
    <row r="319" spans="1:1" x14ac:dyDescent="0.5">
      <c r="A319" s="1"/>
    </row>
    <row r="320" spans="1:1" x14ac:dyDescent="0.5">
      <c r="A320" s="1"/>
    </row>
    <row r="321" spans="1:2" x14ac:dyDescent="0.5">
      <c r="A321" s="1"/>
    </row>
    <row r="322" spans="1:2" x14ac:dyDescent="0.5">
      <c r="A322" s="1"/>
    </row>
    <row r="323" spans="1:2" x14ac:dyDescent="0.5">
      <c r="A323" s="1"/>
    </row>
    <row r="324" spans="1:2" x14ac:dyDescent="0.5">
      <c r="A324" s="1"/>
    </row>
    <row r="325" spans="1:2" x14ac:dyDescent="0.5">
      <c r="A325" s="1"/>
    </row>
    <row r="326" spans="1:2" x14ac:dyDescent="0.5">
      <c r="A326" s="1"/>
    </row>
    <row r="327" spans="1:2" x14ac:dyDescent="0.5">
      <c r="A327" s="1"/>
    </row>
    <row r="328" spans="1:2" x14ac:dyDescent="0.5">
      <c r="A328" s="1"/>
    </row>
    <row r="329" spans="1:2" x14ac:dyDescent="0.5">
      <c r="A329" s="1"/>
    </row>
    <row r="330" spans="1:2" x14ac:dyDescent="0.5">
      <c r="A330" s="1"/>
    </row>
    <row r="331" spans="1:2" x14ac:dyDescent="0.5">
      <c r="A331" s="1"/>
    </row>
    <row r="332" spans="1:2" x14ac:dyDescent="0.5">
      <c r="A332" s="1"/>
    </row>
    <row r="333" spans="1:2" x14ac:dyDescent="0.5">
      <c r="A333" s="1"/>
    </row>
    <row r="334" spans="1:2" x14ac:dyDescent="0.5">
      <c r="A334" s="1"/>
    </row>
    <row r="335" spans="1:2" x14ac:dyDescent="0.5">
      <c r="A335" s="1"/>
      <c r="B335" s="28"/>
    </row>
    <row r="336" spans="1:2" x14ac:dyDescent="0.5">
      <c r="A336" s="1"/>
    </row>
    <row r="337" spans="1:2" x14ac:dyDescent="0.5">
      <c r="A337" s="1"/>
    </row>
    <row r="338" spans="1:2" x14ac:dyDescent="0.5">
      <c r="A338" s="1"/>
      <c r="B338" s="28"/>
    </row>
    <row r="339" spans="1:2" x14ac:dyDescent="0.5">
      <c r="A339" s="1"/>
    </row>
    <row r="340" spans="1:2" x14ac:dyDescent="0.5">
      <c r="A340" s="1"/>
    </row>
    <row r="341" spans="1:2" x14ac:dyDescent="0.5">
      <c r="A341" s="1"/>
    </row>
    <row r="342" spans="1:2" x14ac:dyDescent="0.5">
      <c r="A342" s="1"/>
    </row>
    <row r="343" spans="1:2" x14ac:dyDescent="0.5">
      <c r="A343" s="1"/>
    </row>
    <row r="344" spans="1:2" x14ac:dyDescent="0.5">
      <c r="A344" s="1"/>
    </row>
    <row r="345" spans="1:2" x14ac:dyDescent="0.5">
      <c r="A345" s="1"/>
    </row>
    <row r="346" spans="1:2" x14ac:dyDescent="0.5">
      <c r="A346" s="1"/>
    </row>
    <row r="347" spans="1:2" x14ac:dyDescent="0.5">
      <c r="A347" s="1"/>
    </row>
    <row r="348" spans="1:2" x14ac:dyDescent="0.5">
      <c r="A348" s="1"/>
    </row>
    <row r="349" spans="1:2" x14ac:dyDescent="0.5">
      <c r="A349" s="1"/>
    </row>
    <row r="350" spans="1:2" x14ac:dyDescent="0.5">
      <c r="A350" s="1"/>
    </row>
    <row r="351" spans="1:2" x14ac:dyDescent="0.5">
      <c r="A351" s="1"/>
    </row>
    <row r="352" spans="1:2" x14ac:dyDescent="0.5">
      <c r="A352" s="1"/>
    </row>
    <row r="353" spans="1:1" x14ac:dyDescent="0.5">
      <c r="A353" s="1"/>
    </row>
    <row r="354" spans="1:1" x14ac:dyDescent="0.5">
      <c r="A354" s="1"/>
    </row>
    <row r="355" spans="1:1" x14ac:dyDescent="0.5">
      <c r="A355" s="1"/>
    </row>
    <row r="356" spans="1:1" x14ac:dyDescent="0.5">
      <c r="A356" s="1"/>
    </row>
    <row r="357" spans="1:1" x14ac:dyDescent="0.5">
      <c r="A357" s="1"/>
    </row>
    <row r="358" spans="1:1" x14ac:dyDescent="0.5">
      <c r="A358" s="1"/>
    </row>
    <row r="359" spans="1:1" x14ac:dyDescent="0.5">
      <c r="A359" s="1"/>
    </row>
    <row r="360" spans="1:1" x14ac:dyDescent="0.5">
      <c r="A360" s="1"/>
    </row>
    <row r="361" spans="1:1" x14ac:dyDescent="0.5">
      <c r="A361" s="1"/>
    </row>
    <row r="362" spans="1:1" x14ac:dyDescent="0.5">
      <c r="A362" s="1"/>
    </row>
    <row r="363" spans="1:1" x14ac:dyDescent="0.5">
      <c r="A363" s="1"/>
    </row>
    <row r="364" spans="1:1" x14ac:dyDescent="0.5">
      <c r="A364" s="1"/>
    </row>
    <row r="365" spans="1:1" x14ac:dyDescent="0.5">
      <c r="A365" s="1"/>
    </row>
    <row r="366" spans="1:1" x14ac:dyDescent="0.5">
      <c r="A366" s="1"/>
    </row>
    <row r="367" spans="1:1" x14ac:dyDescent="0.5">
      <c r="A367" s="1"/>
    </row>
    <row r="368" spans="1:1" x14ac:dyDescent="0.5">
      <c r="A368" s="1"/>
    </row>
    <row r="369" spans="1:1" x14ac:dyDescent="0.5">
      <c r="A369" s="1"/>
    </row>
    <row r="370" spans="1:1" x14ac:dyDescent="0.5">
      <c r="A370" s="1"/>
    </row>
    <row r="371" spans="1:1" x14ac:dyDescent="0.5">
      <c r="A371" s="1"/>
    </row>
    <row r="372" spans="1:1" x14ac:dyDescent="0.5">
      <c r="A372" s="1"/>
    </row>
    <row r="373" spans="1:1" x14ac:dyDescent="0.5">
      <c r="A373" s="1"/>
    </row>
    <row r="374" spans="1:1" x14ac:dyDescent="0.5">
      <c r="A374" s="1"/>
    </row>
    <row r="375" spans="1:1" x14ac:dyDescent="0.5">
      <c r="A375" s="1"/>
    </row>
    <row r="376" spans="1:1" x14ac:dyDescent="0.5">
      <c r="A376" s="1"/>
    </row>
    <row r="377" spans="1:1" x14ac:dyDescent="0.5">
      <c r="A377" s="1"/>
    </row>
    <row r="378" spans="1:1" x14ac:dyDescent="0.5">
      <c r="A378" s="1"/>
    </row>
    <row r="379" spans="1:1" x14ac:dyDescent="0.5">
      <c r="A379" s="1"/>
    </row>
    <row r="380" spans="1:1" x14ac:dyDescent="0.5">
      <c r="A380" s="1"/>
    </row>
    <row r="381" spans="1:1" x14ac:dyDescent="0.5">
      <c r="A381" s="1"/>
    </row>
    <row r="382" spans="1:1" x14ac:dyDescent="0.5">
      <c r="A382" s="1"/>
    </row>
    <row r="383" spans="1:1" x14ac:dyDescent="0.5">
      <c r="A383" s="1"/>
    </row>
    <row r="384" spans="1:1" x14ac:dyDescent="0.5">
      <c r="A384" s="1"/>
    </row>
    <row r="385" spans="1:2" x14ac:dyDescent="0.5">
      <c r="A385" s="1"/>
    </row>
    <row r="386" spans="1:2" x14ac:dyDescent="0.5">
      <c r="A386" s="1"/>
    </row>
    <row r="387" spans="1:2" x14ac:dyDescent="0.5">
      <c r="A387" s="1"/>
    </row>
    <row r="388" spans="1:2" x14ac:dyDescent="0.5">
      <c r="A388" s="1"/>
    </row>
    <row r="389" spans="1:2" x14ac:dyDescent="0.5">
      <c r="A389" s="1"/>
    </row>
    <row r="390" spans="1:2" x14ac:dyDescent="0.5">
      <c r="A390" s="1"/>
    </row>
    <row r="391" spans="1:2" x14ac:dyDescent="0.5">
      <c r="A391" s="1"/>
    </row>
    <row r="392" spans="1:2" x14ac:dyDescent="0.5">
      <c r="A392" s="1"/>
    </row>
    <row r="393" spans="1:2" x14ac:dyDescent="0.5">
      <c r="A393" s="1"/>
    </row>
    <row r="394" spans="1:2" x14ac:dyDescent="0.5">
      <c r="A394" s="1"/>
    </row>
    <row r="395" spans="1:2" x14ac:dyDescent="0.5">
      <c r="A395" s="1"/>
    </row>
    <row r="396" spans="1:2" x14ac:dyDescent="0.5">
      <c r="A396" s="1"/>
    </row>
    <row r="397" spans="1:2" x14ac:dyDescent="0.5">
      <c r="A397" s="1"/>
    </row>
    <row r="398" spans="1:2" x14ac:dyDescent="0.5">
      <c r="A398" s="1"/>
    </row>
    <row r="399" spans="1:2" x14ac:dyDescent="0.5">
      <c r="A399" s="1"/>
    </row>
    <row r="400" spans="1:2" x14ac:dyDescent="0.5">
      <c r="A400" s="1"/>
      <c r="B400" s="28"/>
    </row>
    <row r="401" spans="1:2" x14ac:dyDescent="0.5">
      <c r="A401" s="1"/>
    </row>
    <row r="402" spans="1:2" x14ac:dyDescent="0.5">
      <c r="A402" s="1"/>
    </row>
    <row r="403" spans="1:2" x14ac:dyDescent="0.5">
      <c r="A403" s="1"/>
      <c r="B403" s="28"/>
    </row>
    <row r="404" spans="1:2" x14ac:dyDescent="0.5">
      <c r="A404" s="1"/>
    </row>
    <row r="405" spans="1:2" x14ac:dyDescent="0.5">
      <c r="A405" s="1"/>
    </row>
    <row r="406" spans="1:2" x14ac:dyDescent="0.5">
      <c r="A406" s="1"/>
    </row>
    <row r="407" spans="1:2" x14ac:dyDescent="0.5">
      <c r="A407" s="1"/>
    </row>
    <row r="408" spans="1:2" x14ac:dyDescent="0.5">
      <c r="A408" s="1"/>
    </row>
    <row r="409" spans="1:2" x14ac:dyDescent="0.5">
      <c r="A409" s="1"/>
    </row>
    <row r="410" spans="1:2" x14ac:dyDescent="0.5">
      <c r="A410" s="1"/>
    </row>
    <row r="411" spans="1:2" x14ac:dyDescent="0.5">
      <c r="A411" s="1"/>
    </row>
    <row r="412" spans="1:2" x14ac:dyDescent="0.5">
      <c r="A412" s="1"/>
    </row>
    <row r="413" spans="1:2" x14ac:dyDescent="0.5">
      <c r="A413" s="1"/>
      <c r="B413" s="28"/>
    </row>
    <row r="414" spans="1:2" x14ac:dyDescent="0.5">
      <c r="A414" s="1"/>
    </row>
    <row r="415" spans="1:2" x14ac:dyDescent="0.5">
      <c r="A415" s="1"/>
    </row>
    <row r="416" spans="1:2" x14ac:dyDescent="0.5">
      <c r="A416" s="1"/>
      <c r="B416" s="28"/>
    </row>
    <row r="417" spans="1:1" x14ac:dyDescent="0.5">
      <c r="A417" s="1"/>
    </row>
    <row r="418" spans="1:1" x14ac:dyDescent="0.5">
      <c r="A418" s="1"/>
    </row>
    <row r="419" spans="1:1" x14ac:dyDescent="0.5">
      <c r="A419" s="1"/>
    </row>
    <row r="420" spans="1:1" x14ac:dyDescent="0.5">
      <c r="A420" s="1"/>
    </row>
    <row r="421" spans="1:1" x14ac:dyDescent="0.5">
      <c r="A421" s="1"/>
    </row>
    <row r="422" spans="1:1" x14ac:dyDescent="0.5">
      <c r="A422" s="1"/>
    </row>
    <row r="423" spans="1:1" x14ac:dyDescent="0.5">
      <c r="A423" s="1"/>
    </row>
    <row r="424" spans="1:1" x14ac:dyDescent="0.5">
      <c r="A424" s="1"/>
    </row>
    <row r="425" spans="1:1" x14ac:dyDescent="0.5">
      <c r="A425" s="1"/>
    </row>
    <row r="426" spans="1:1" x14ac:dyDescent="0.5">
      <c r="A426" s="1"/>
    </row>
    <row r="427" spans="1:1" x14ac:dyDescent="0.5">
      <c r="A427" s="1"/>
    </row>
    <row r="428" spans="1:1" x14ac:dyDescent="0.5">
      <c r="A428" s="1"/>
    </row>
    <row r="429" spans="1:1" x14ac:dyDescent="0.5">
      <c r="A429" s="1"/>
    </row>
    <row r="430" spans="1:1" x14ac:dyDescent="0.5">
      <c r="A430" s="1"/>
    </row>
    <row r="431" spans="1:1" x14ac:dyDescent="0.5">
      <c r="A431" s="1"/>
    </row>
    <row r="432" spans="1:1" x14ac:dyDescent="0.5">
      <c r="A432" s="1"/>
    </row>
    <row r="433" spans="1:1" x14ac:dyDescent="0.5">
      <c r="A433" s="1"/>
    </row>
    <row r="434" spans="1:1" x14ac:dyDescent="0.5">
      <c r="A434" s="1"/>
    </row>
    <row r="435" spans="1:1" x14ac:dyDescent="0.5">
      <c r="A435" s="1"/>
    </row>
    <row r="436" spans="1:1" x14ac:dyDescent="0.5">
      <c r="A436" s="1"/>
    </row>
    <row r="437" spans="1:1" x14ac:dyDescent="0.5">
      <c r="A437" s="1"/>
    </row>
    <row r="438" spans="1:1" x14ac:dyDescent="0.5">
      <c r="A438" s="1"/>
    </row>
    <row r="439" spans="1:1" x14ac:dyDescent="0.5">
      <c r="A439" s="1"/>
    </row>
    <row r="440" spans="1:1" x14ac:dyDescent="0.5">
      <c r="A440" s="1"/>
    </row>
    <row r="441" spans="1:1" x14ac:dyDescent="0.5">
      <c r="A441" s="1"/>
    </row>
    <row r="442" spans="1:1" x14ac:dyDescent="0.5">
      <c r="A442" s="1"/>
    </row>
    <row r="443" spans="1:1" x14ac:dyDescent="0.5">
      <c r="A443" s="1"/>
    </row>
    <row r="444" spans="1:1" x14ac:dyDescent="0.5">
      <c r="A444" s="1"/>
    </row>
    <row r="445" spans="1:1" x14ac:dyDescent="0.5">
      <c r="A445" s="1"/>
    </row>
    <row r="446" spans="1:1" x14ac:dyDescent="0.5">
      <c r="A446" s="1"/>
    </row>
    <row r="447" spans="1:1" x14ac:dyDescent="0.5">
      <c r="A447" s="1"/>
    </row>
    <row r="448" spans="1:1" x14ac:dyDescent="0.5">
      <c r="A448" s="1"/>
    </row>
    <row r="449" spans="1:1" x14ac:dyDescent="0.5">
      <c r="A449" s="1"/>
    </row>
    <row r="450" spans="1:1" x14ac:dyDescent="0.5">
      <c r="A450" s="1"/>
    </row>
    <row r="451" spans="1:1" x14ac:dyDescent="0.5">
      <c r="A451" s="1"/>
    </row>
    <row r="452" spans="1:1" x14ac:dyDescent="0.5">
      <c r="A452" s="1"/>
    </row>
    <row r="453" spans="1:1" x14ac:dyDescent="0.5">
      <c r="A453" s="1"/>
    </row>
    <row r="454" spans="1:1" x14ac:dyDescent="0.5">
      <c r="A454" s="1"/>
    </row>
    <row r="455" spans="1:1" x14ac:dyDescent="0.5">
      <c r="A455" s="1"/>
    </row>
    <row r="456" spans="1:1" x14ac:dyDescent="0.5">
      <c r="A456" s="1"/>
    </row>
    <row r="457" spans="1:1" x14ac:dyDescent="0.5">
      <c r="A457" s="1"/>
    </row>
    <row r="458" spans="1:1" x14ac:dyDescent="0.5">
      <c r="A458" s="1"/>
    </row>
    <row r="459" spans="1:1" x14ac:dyDescent="0.5">
      <c r="A459" s="1"/>
    </row>
    <row r="460" spans="1:1" x14ac:dyDescent="0.5">
      <c r="A460" s="1"/>
    </row>
    <row r="461" spans="1:1" x14ac:dyDescent="0.5">
      <c r="A461" s="1"/>
    </row>
    <row r="462" spans="1:1" x14ac:dyDescent="0.5">
      <c r="A462" s="1"/>
    </row>
    <row r="463" spans="1:1" x14ac:dyDescent="0.5">
      <c r="A463" s="1"/>
    </row>
    <row r="464" spans="1:1" x14ac:dyDescent="0.5">
      <c r="A464" s="1"/>
    </row>
    <row r="465" spans="1:2" x14ac:dyDescent="0.5">
      <c r="A465" s="1"/>
    </row>
    <row r="466" spans="1:2" x14ac:dyDescent="0.5">
      <c r="A466" s="1"/>
    </row>
    <row r="467" spans="1:2" x14ac:dyDescent="0.5">
      <c r="A467" s="1"/>
    </row>
    <row r="468" spans="1:2" x14ac:dyDescent="0.5">
      <c r="A468" s="1"/>
    </row>
    <row r="469" spans="1:2" x14ac:dyDescent="0.5">
      <c r="A469" s="1"/>
    </row>
    <row r="470" spans="1:2" x14ac:dyDescent="0.5">
      <c r="A470" s="1"/>
    </row>
    <row r="471" spans="1:2" x14ac:dyDescent="0.5">
      <c r="A471" s="1"/>
      <c r="B471" s="28"/>
    </row>
    <row r="472" spans="1:2" x14ac:dyDescent="0.5">
      <c r="A472" s="1"/>
    </row>
    <row r="473" spans="1:2" x14ac:dyDescent="0.5">
      <c r="A473" s="1"/>
    </row>
    <row r="474" spans="1:2" x14ac:dyDescent="0.5">
      <c r="A474" s="1"/>
      <c r="B474" s="28"/>
    </row>
    <row r="475" spans="1:2" x14ac:dyDescent="0.5">
      <c r="A475" s="1"/>
    </row>
    <row r="476" spans="1:2" x14ac:dyDescent="0.5">
      <c r="A476" s="1"/>
    </row>
    <row r="477" spans="1:2" x14ac:dyDescent="0.5">
      <c r="A477" s="1"/>
    </row>
    <row r="478" spans="1:2" x14ac:dyDescent="0.5">
      <c r="A478" s="1"/>
    </row>
    <row r="479" spans="1:2" x14ac:dyDescent="0.5">
      <c r="A479" s="1"/>
    </row>
    <row r="480" spans="1:2" x14ac:dyDescent="0.5">
      <c r="A480" s="1"/>
    </row>
    <row r="481" spans="1:2" x14ac:dyDescent="0.5">
      <c r="A481" s="1"/>
    </row>
    <row r="482" spans="1:2" x14ac:dyDescent="0.5">
      <c r="A482" s="1"/>
    </row>
    <row r="483" spans="1:2" x14ac:dyDescent="0.5">
      <c r="A483" s="1"/>
    </row>
    <row r="484" spans="1:2" x14ac:dyDescent="0.5">
      <c r="A484" s="1"/>
    </row>
    <row r="485" spans="1:2" x14ac:dyDescent="0.5">
      <c r="A485" s="1"/>
    </row>
    <row r="486" spans="1:2" x14ac:dyDescent="0.5">
      <c r="A486" s="1"/>
    </row>
    <row r="487" spans="1:2" x14ac:dyDescent="0.5">
      <c r="A487" s="1"/>
      <c r="B487" s="28"/>
    </row>
    <row r="488" spans="1:2" x14ac:dyDescent="0.5">
      <c r="A488" s="1"/>
    </row>
    <row r="489" spans="1:2" x14ac:dyDescent="0.5">
      <c r="A489" s="1"/>
    </row>
    <row r="490" spans="1:2" x14ac:dyDescent="0.5">
      <c r="A490" s="1"/>
      <c r="B490" s="28"/>
    </row>
    <row r="491" spans="1:2" x14ac:dyDescent="0.5">
      <c r="A491" s="1"/>
    </row>
    <row r="492" spans="1:2" x14ac:dyDescent="0.5">
      <c r="A492" s="1"/>
    </row>
    <row r="493" spans="1:2" x14ac:dyDescent="0.5">
      <c r="A493" s="1"/>
    </row>
    <row r="494" spans="1:2" x14ac:dyDescent="0.5">
      <c r="A494" s="1"/>
    </row>
    <row r="495" spans="1:2" x14ac:dyDescent="0.5">
      <c r="A495" s="1"/>
    </row>
    <row r="496" spans="1:2" x14ac:dyDescent="0.5">
      <c r="A496" s="1"/>
    </row>
    <row r="497" spans="1:1" x14ac:dyDescent="0.5">
      <c r="A497" s="1"/>
    </row>
    <row r="498" spans="1:1" x14ac:dyDescent="0.5">
      <c r="A498" s="1"/>
    </row>
    <row r="499" spans="1:1" x14ac:dyDescent="0.5">
      <c r="A499" s="1"/>
    </row>
    <row r="500" spans="1:1" x14ac:dyDescent="0.5">
      <c r="A500" s="1"/>
    </row>
    <row r="501" spans="1:1" x14ac:dyDescent="0.5">
      <c r="A501" s="1"/>
    </row>
    <row r="502" spans="1:1" x14ac:dyDescent="0.5">
      <c r="A502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94927F-7177-384F-9721-ED6FCA405D46}">
  <sheetPr codeName="Sheet6"/>
  <dimension ref="A1:M252"/>
  <sheetViews>
    <sheetView workbookViewId="0">
      <selection activeCell="J1" sqref="J1:J1048576"/>
    </sheetView>
  </sheetViews>
  <sheetFormatPr defaultColWidth="11" defaultRowHeight="15.75" x14ac:dyDescent="0.5"/>
  <cols>
    <col min="1" max="1" width="10.125" bestFit="1" customWidth="1"/>
    <col min="2" max="2" width="12.375" bestFit="1" customWidth="1"/>
    <col min="3" max="6" width="11.75" bestFit="1" customWidth="1"/>
    <col min="7" max="7" width="7.75" bestFit="1" customWidth="1"/>
    <col min="8" max="8" width="8.5" bestFit="1" customWidth="1"/>
    <col min="9" max="9" width="10" bestFit="1" customWidth="1"/>
    <col min="10" max="12" width="12.25" bestFit="1" customWidth="1"/>
    <col min="13" max="13" width="10.125" bestFit="1" customWidth="1"/>
    <col min="14" max="14" width="10.5" bestFit="1" customWidth="1"/>
  </cols>
  <sheetData>
    <row r="1" spans="1:13" x14ac:dyDescent="0.5">
      <c r="A1" t="s">
        <v>1117</v>
      </c>
      <c r="B1" s="1" t="s">
        <v>1150</v>
      </c>
      <c r="C1" s="1" t="s">
        <v>1118</v>
      </c>
      <c r="D1" s="1" t="s">
        <v>1119</v>
      </c>
      <c r="E1" s="1" t="s">
        <v>1120</v>
      </c>
      <c r="F1" s="1" t="s">
        <v>1121</v>
      </c>
      <c r="G1" t="s">
        <v>1122</v>
      </c>
      <c r="H1" s="1" t="s">
        <v>1123</v>
      </c>
      <c r="I1" s="1" t="s">
        <v>1124</v>
      </c>
      <c r="J1" s="1" t="s">
        <v>1152</v>
      </c>
      <c r="K1" s="1"/>
      <c r="L1" s="1"/>
    </row>
    <row r="2" spans="1:13" x14ac:dyDescent="0.5">
      <c r="A2" s="1">
        <v>45296</v>
      </c>
      <c r="B2">
        <v>9.1134030163864104E-3</v>
      </c>
      <c r="C2" s="2">
        <v>374.73445450615498</v>
      </c>
      <c r="D2" s="2">
        <v>382.14239453981202</v>
      </c>
      <c r="E2" s="2">
        <v>373.91023217062099</v>
      </c>
      <c r="F2">
        <v>379.16940307617102</v>
      </c>
      <c r="G2">
        <v>2913900</v>
      </c>
      <c r="H2">
        <v>0</v>
      </c>
      <c r="I2">
        <v>0</v>
      </c>
      <c r="J2">
        <f>STANDARDIZE(F2,$M$6,$M$5)</f>
        <v>-1.2842734260262756</v>
      </c>
    </row>
    <row r="3" spans="1:13" x14ac:dyDescent="0.5">
      <c r="A3" s="1">
        <v>45299</v>
      </c>
      <c r="B3" s="2">
        <v>6.2623228085070199E-3</v>
      </c>
      <c r="C3" s="2">
        <v>378.70827297166699</v>
      </c>
      <c r="D3" s="2">
        <v>381.75974634455201</v>
      </c>
      <c r="E3" s="2">
        <v>374.84239864109702</v>
      </c>
      <c r="F3">
        <v>381.54388427734301</v>
      </c>
      <c r="G3">
        <v>1902600</v>
      </c>
      <c r="H3">
        <v>0</v>
      </c>
      <c r="I3">
        <v>0</v>
      </c>
      <c r="J3">
        <f t="shared" ref="J3:J52" si="0">STANDARDIZE(F3,$M$6,$M$5)</f>
        <v>-1.2500880681761353</v>
      </c>
    </row>
    <row r="4" spans="1:13" x14ac:dyDescent="0.5">
      <c r="A4" s="1">
        <v>45300</v>
      </c>
      <c r="B4" s="2">
        <v>-1.31667203895562E-2</v>
      </c>
      <c r="C4">
        <v>377.364037935515</v>
      </c>
      <c r="D4" s="2">
        <v>378.68864466036001</v>
      </c>
      <c r="E4" s="2">
        <v>374.587265549915</v>
      </c>
      <c r="F4">
        <v>376.52020263671801</v>
      </c>
      <c r="G4">
        <v>1708800</v>
      </c>
      <c r="H4">
        <v>0</v>
      </c>
      <c r="I4">
        <v>0</v>
      </c>
      <c r="J4">
        <f t="shared" si="0"/>
        <v>-1.3224139111961519</v>
      </c>
    </row>
    <row r="5" spans="1:13" x14ac:dyDescent="0.5">
      <c r="A5" s="1">
        <v>45301</v>
      </c>
      <c r="B5" s="2">
        <v>-4.6385850848457101E-3</v>
      </c>
      <c r="C5">
        <v>374.17517273637799</v>
      </c>
      <c r="D5" s="2">
        <v>375.843170460566</v>
      </c>
      <c r="E5" s="2">
        <v>371.40822187556898</v>
      </c>
      <c r="F5">
        <v>374.773681640625</v>
      </c>
      <c r="G5">
        <v>1547300</v>
      </c>
      <c r="H5">
        <v>0</v>
      </c>
      <c r="I5">
        <v>0</v>
      </c>
      <c r="J5">
        <f t="shared" si="0"/>
        <v>-1.3475585386687778</v>
      </c>
      <c r="L5" t="s">
        <v>1153</v>
      </c>
      <c r="M5">
        <f>_xlfn.STDEV.P(F:F)</f>
        <v>69.459012586063707</v>
      </c>
    </row>
    <row r="6" spans="1:13" x14ac:dyDescent="0.5">
      <c r="A6" s="1">
        <v>45302</v>
      </c>
      <c r="B6">
        <v>-5.7858811926208E-3</v>
      </c>
      <c r="C6" s="2">
        <v>373.72385176360899</v>
      </c>
      <c r="D6" s="2">
        <v>373.81215488720801</v>
      </c>
      <c r="E6" s="2">
        <v>367.630666744569</v>
      </c>
      <c r="F6">
        <v>372.60528564453102</v>
      </c>
      <c r="G6">
        <v>2209900</v>
      </c>
      <c r="H6">
        <v>0</v>
      </c>
      <c r="I6">
        <v>0</v>
      </c>
      <c r="J6">
        <f t="shared" si="0"/>
        <v>-1.3787768919876826</v>
      </c>
      <c r="L6" t="s">
        <v>1125</v>
      </c>
      <c r="M6" s="29">
        <f>AVERAGE(F:F)</f>
        <v>468.37376713847726</v>
      </c>
    </row>
    <row r="7" spans="1:13" x14ac:dyDescent="0.5">
      <c r="A7" s="1">
        <v>45303</v>
      </c>
      <c r="B7" s="2">
        <v>-5.2667055980041202E-3</v>
      </c>
      <c r="C7" s="2">
        <v>376.12770755046103</v>
      </c>
      <c r="D7" s="2">
        <v>378.59049314051902</v>
      </c>
      <c r="E7" s="2">
        <v>369.49488290275002</v>
      </c>
      <c r="F7">
        <v>370.64288330078102</v>
      </c>
      <c r="G7">
        <v>2223100</v>
      </c>
      <c r="H7">
        <v>0</v>
      </c>
      <c r="I7">
        <v>0</v>
      </c>
      <c r="J7">
        <f t="shared" si="0"/>
        <v>-1.4070295588582125</v>
      </c>
    </row>
    <row r="8" spans="1:13" x14ac:dyDescent="0.5">
      <c r="A8" s="1">
        <v>45307</v>
      </c>
      <c r="B8" s="2">
        <v>7.1476644403323198E-3</v>
      </c>
      <c r="C8" s="2">
        <v>371.24140977969302</v>
      </c>
      <c r="D8" s="2">
        <v>377.766318686886</v>
      </c>
      <c r="E8" s="2">
        <v>367.27744108211402</v>
      </c>
      <c r="F8">
        <v>373.29211425781199</v>
      </c>
      <c r="G8">
        <v>3926600</v>
      </c>
      <c r="H8">
        <v>0</v>
      </c>
      <c r="I8">
        <v>0</v>
      </c>
      <c r="J8">
        <f t="shared" si="0"/>
        <v>-1.3688886343273832</v>
      </c>
    </row>
    <row r="9" spans="1:13" x14ac:dyDescent="0.5">
      <c r="A9" s="1">
        <v>45308</v>
      </c>
      <c r="B9">
        <v>-8.5951349391057905E-3</v>
      </c>
      <c r="C9">
        <v>368.14088962596799</v>
      </c>
      <c r="D9" s="2">
        <v>373.046818166062</v>
      </c>
      <c r="E9" s="2">
        <v>367.09101373197001</v>
      </c>
      <c r="F9">
        <v>370.08361816406199</v>
      </c>
      <c r="G9">
        <v>2415100</v>
      </c>
      <c r="H9">
        <v>0</v>
      </c>
      <c r="I9">
        <v>0</v>
      </c>
      <c r="J9">
        <f t="shared" si="0"/>
        <v>-1.4150812877253061</v>
      </c>
    </row>
    <row r="10" spans="1:13" x14ac:dyDescent="0.5">
      <c r="A10" s="1">
        <v>45309</v>
      </c>
      <c r="B10">
        <v>-7.15764127683038E-4</v>
      </c>
      <c r="C10" s="2">
        <v>373.17436409133899</v>
      </c>
      <c r="D10" s="2">
        <v>374.459744975116</v>
      </c>
      <c r="E10" s="2">
        <v>367.51293307876801</v>
      </c>
      <c r="F10">
        <v>369.81872558593699</v>
      </c>
      <c r="G10">
        <v>1771200</v>
      </c>
      <c r="H10">
        <v>0</v>
      </c>
      <c r="I10">
        <v>0</v>
      </c>
      <c r="J10">
        <f t="shared" si="0"/>
        <v>-1.4188949408174341</v>
      </c>
    </row>
    <row r="11" spans="1:13" x14ac:dyDescent="0.5">
      <c r="A11" s="1">
        <v>45310</v>
      </c>
      <c r="B11" s="2">
        <v>1.4035147076055699E-2</v>
      </c>
      <c r="C11" s="2">
        <v>369.64209882467401</v>
      </c>
      <c r="D11" s="2">
        <v>376.08846610419602</v>
      </c>
      <c r="E11" s="2">
        <v>365.06976987832098</v>
      </c>
      <c r="F11">
        <v>375.009185791015</v>
      </c>
      <c r="G11">
        <v>2598700</v>
      </c>
      <c r="H11">
        <v>0</v>
      </c>
      <c r="I11">
        <v>0</v>
      </c>
      <c r="J11">
        <f t="shared" si="0"/>
        <v>-1.3441679901766266</v>
      </c>
    </row>
    <row r="12" spans="1:13" x14ac:dyDescent="0.5">
      <c r="A12" s="1">
        <v>45313</v>
      </c>
      <c r="B12" s="2">
        <v>9.8377310256316797E-3</v>
      </c>
      <c r="C12" s="2">
        <v>379.09089358522402</v>
      </c>
      <c r="D12" s="2">
        <v>385.34107166162801</v>
      </c>
      <c r="E12">
        <v>377.32477129836701</v>
      </c>
      <c r="F12">
        <v>378.69842529296801</v>
      </c>
      <c r="G12">
        <v>2922700</v>
      </c>
      <c r="H12">
        <v>0</v>
      </c>
      <c r="I12">
        <v>0</v>
      </c>
      <c r="J12">
        <f t="shared" si="0"/>
        <v>-1.2910540836496394</v>
      </c>
    </row>
    <row r="13" spans="1:13" x14ac:dyDescent="0.5">
      <c r="A13" s="1">
        <v>45314</v>
      </c>
      <c r="B13" s="2">
        <v>-1.34469695443457E-2</v>
      </c>
      <c r="C13">
        <v>372.83096393521998</v>
      </c>
      <c r="D13" s="2">
        <v>376.147346545441</v>
      </c>
      <c r="E13" s="2">
        <v>371.50635721292002</v>
      </c>
      <c r="F13">
        <v>373.60607910156199</v>
      </c>
      <c r="G13">
        <v>3313300</v>
      </c>
      <c r="H13">
        <v>0</v>
      </c>
      <c r="I13">
        <v>0</v>
      </c>
      <c r="J13">
        <f t="shared" si="0"/>
        <v>-1.3643684888191099</v>
      </c>
    </row>
    <row r="14" spans="1:13" x14ac:dyDescent="0.5">
      <c r="A14" s="1">
        <v>45315</v>
      </c>
      <c r="B14" s="2">
        <v>-3.5980096589504E-3</v>
      </c>
      <c r="C14" s="2">
        <v>374.62650190115897</v>
      </c>
      <c r="D14" s="2">
        <v>377.37380982644402</v>
      </c>
      <c r="E14" s="2">
        <v>372.04597877308203</v>
      </c>
      <c r="F14">
        <v>372.26184082031199</v>
      </c>
      <c r="G14">
        <v>2235800</v>
      </c>
      <c r="H14">
        <v>0</v>
      </c>
      <c r="I14">
        <v>0</v>
      </c>
      <c r="J14">
        <f t="shared" si="0"/>
        <v>-1.3837214601787935</v>
      </c>
    </row>
    <row r="15" spans="1:13" x14ac:dyDescent="0.5">
      <c r="A15" s="1">
        <v>45316</v>
      </c>
      <c r="B15">
        <v>8.6980324104815009E-3</v>
      </c>
      <c r="C15" s="2">
        <v>375.48996493787803</v>
      </c>
      <c r="D15" s="2">
        <v>379.43432074587997</v>
      </c>
      <c r="E15" s="2">
        <v>374.82276583584201</v>
      </c>
      <c r="F15">
        <v>375.49978637695301</v>
      </c>
      <c r="G15">
        <v>2376300</v>
      </c>
      <c r="H15">
        <v>0</v>
      </c>
      <c r="I15">
        <v>0</v>
      </c>
      <c r="J15">
        <f t="shared" si="0"/>
        <v>-1.3371048234589868</v>
      </c>
    </row>
    <row r="16" spans="1:13" x14ac:dyDescent="0.5">
      <c r="A16" s="1">
        <v>45317</v>
      </c>
      <c r="B16" s="2">
        <v>-1.2829905975735301E-2</v>
      </c>
      <c r="C16" s="2">
        <v>371.52596476536598</v>
      </c>
      <c r="D16" s="2">
        <v>373.73363262274501</v>
      </c>
      <c r="E16" s="2">
        <v>369.66171789670602</v>
      </c>
      <c r="F16">
        <v>370.68215942382801</v>
      </c>
      <c r="G16">
        <v>3464700</v>
      </c>
      <c r="H16">
        <v>0</v>
      </c>
      <c r="I16">
        <v>0</v>
      </c>
      <c r="J16">
        <f t="shared" si="0"/>
        <v>-1.4064641013087213</v>
      </c>
    </row>
    <row r="17" spans="1:10" x14ac:dyDescent="0.5">
      <c r="A17" s="1">
        <v>45320</v>
      </c>
      <c r="B17" s="2">
        <v>7.3320631196789297E-3</v>
      </c>
      <c r="C17" s="2">
        <v>368.817904002425</v>
      </c>
      <c r="D17">
        <v>373.67475520998403</v>
      </c>
      <c r="E17" s="2">
        <v>367.19892365649503</v>
      </c>
      <c r="F17">
        <v>373.40002441406199</v>
      </c>
      <c r="G17">
        <v>1632300</v>
      </c>
      <c r="H17">
        <v>0</v>
      </c>
      <c r="I17">
        <v>0</v>
      </c>
      <c r="J17">
        <f t="shared" si="0"/>
        <v>-1.367335053989392</v>
      </c>
    </row>
    <row r="18" spans="1:10" x14ac:dyDescent="0.5">
      <c r="A18" s="1">
        <v>45321</v>
      </c>
      <c r="B18">
        <v>1.65808349621905E-2</v>
      </c>
      <c r="C18" s="2">
        <v>376.775310413635</v>
      </c>
      <c r="D18" s="2">
        <v>380.62157154920902</v>
      </c>
      <c r="E18" s="2">
        <v>374.41064927329899</v>
      </c>
      <c r="F18">
        <v>379.59130859375</v>
      </c>
      <c r="G18">
        <v>3897900</v>
      </c>
      <c r="H18">
        <v>0</v>
      </c>
      <c r="I18">
        <v>0</v>
      </c>
      <c r="J18">
        <f t="shared" si="0"/>
        <v>-1.2781992608190433</v>
      </c>
    </row>
    <row r="19" spans="1:10" x14ac:dyDescent="0.5">
      <c r="A19" s="1">
        <v>45322</v>
      </c>
      <c r="B19" s="2">
        <v>-7.3926425547624604E-3</v>
      </c>
      <c r="C19" s="2">
        <v>378.737675670177</v>
      </c>
      <c r="D19" s="2">
        <v>386.49885805756003</v>
      </c>
      <c r="E19" s="2">
        <v>376.48096056453198</v>
      </c>
      <c r="F19">
        <v>376.78512573242102</v>
      </c>
      <c r="G19">
        <v>3421100</v>
      </c>
      <c r="H19">
        <v>0</v>
      </c>
      <c r="I19">
        <v>0</v>
      </c>
      <c r="J19">
        <f t="shared" si="0"/>
        <v>-1.3185998187430703</v>
      </c>
    </row>
    <row r="20" spans="1:10" x14ac:dyDescent="0.5">
      <c r="A20" s="1">
        <v>45323</v>
      </c>
      <c r="B20" s="2">
        <v>-4.1663646241296698E-4</v>
      </c>
      <c r="C20" s="2">
        <v>377.19721785108101</v>
      </c>
      <c r="D20" s="2">
        <v>382.21109243354698</v>
      </c>
      <c r="E20" s="2">
        <v>371.67313747560399</v>
      </c>
      <c r="F20">
        <v>376.62814331054602</v>
      </c>
      <c r="G20">
        <v>2138500</v>
      </c>
      <c r="H20">
        <v>0</v>
      </c>
      <c r="I20">
        <v>0</v>
      </c>
      <c r="J20">
        <f t="shared" si="0"/>
        <v>-1.320859891497207</v>
      </c>
    </row>
    <row r="21" spans="1:10" x14ac:dyDescent="0.5">
      <c r="A21" s="1">
        <v>45324</v>
      </c>
      <c r="B21" s="2">
        <v>1.0446749306457699E-2</v>
      </c>
      <c r="C21" s="2">
        <v>374.61669997338299</v>
      </c>
      <c r="D21" s="2">
        <v>381.42613133935998</v>
      </c>
      <c r="E21" s="2">
        <v>373.43929506268699</v>
      </c>
      <c r="F21">
        <v>380.56268310546801</v>
      </c>
      <c r="G21">
        <v>2180900</v>
      </c>
      <c r="H21">
        <v>0</v>
      </c>
      <c r="I21">
        <v>0</v>
      </c>
      <c r="J21">
        <f t="shared" si="0"/>
        <v>-1.2642144016114003</v>
      </c>
    </row>
    <row r="22" spans="1:10" x14ac:dyDescent="0.5">
      <c r="A22" s="1">
        <v>45327</v>
      </c>
      <c r="B22">
        <v>-1.24787915714469E-2</v>
      </c>
      <c r="C22" s="2">
        <v>377.36401081419098</v>
      </c>
      <c r="D22" s="2">
        <v>378.08025718218897</v>
      </c>
      <c r="E22" s="2">
        <v>373.83173644960698</v>
      </c>
      <c r="F22">
        <v>375.813720703125</v>
      </c>
      <c r="G22">
        <v>2231100</v>
      </c>
      <c r="H22">
        <v>0</v>
      </c>
      <c r="I22">
        <v>0</v>
      </c>
      <c r="J22">
        <f t="shared" si="0"/>
        <v>-1.332585117311667</v>
      </c>
    </row>
    <row r="23" spans="1:10" x14ac:dyDescent="0.5">
      <c r="A23" s="1">
        <v>45328</v>
      </c>
      <c r="B23">
        <v>5.1434614862411101E-3</v>
      </c>
      <c r="C23">
        <v>375.81376691599098</v>
      </c>
      <c r="D23">
        <v>379.54229084842098</v>
      </c>
      <c r="E23">
        <v>375.79415398000702</v>
      </c>
      <c r="F23">
        <v>377.74670410156199</v>
      </c>
      <c r="G23">
        <v>1487800</v>
      </c>
      <c r="H23">
        <v>0</v>
      </c>
      <c r="I23">
        <v>0</v>
      </c>
      <c r="J23">
        <f t="shared" si="0"/>
        <v>-1.3047559944020675</v>
      </c>
    </row>
    <row r="24" spans="1:10" x14ac:dyDescent="0.5">
      <c r="A24" s="1">
        <v>45329</v>
      </c>
      <c r="B24">
        <v>4.3377752988284996E-3</v>
      </c>
      <c r="C24">
        <v>378.06067767706003</v>
      </c>
      <c r="D24">
        <v>379.78757417319599</v>
      </c>
      <c r="E24">
        <v>375.30354812422098</v>
      </c>
      <c r="F24">
        <v>379.38528442382801</v>
      </c>
      <c r="G24">
        <v>1963200</v>
      </c>
      <c r="H24">
        <v>0</v>
      </c>
      <c r="I24">
        <v>0</v>
      </c>
      <c r="J24">
        <f t="shared" si="0"/>
        <v>-1.2811653866283719</v>
      </c>
    </row>
    <row r="25" spans="1:10" x14ac:dyDescent="0.5">
      <c r="A25" s="1">
        <v>45330</v>
      </c>
      <c r="B25">
        <v>-4.1897739303009499E-3</v>
      </c>
      <c r="C25">
        <v>378.73767572632801</v>
      </c>
      <c r="D25">
        <v>380.80796315603601</v>
      </c>
      <c r="E25">
        <v>374.16534682512702</v>
      </c>
      <c r="F25">
        <v>377.79574584960898</v>
      </c>
      <c r="G25">
        <v>1913700</v>
      </c>
      <c r="H25">
        <v>0</v>
      </c>
      <c r="I25">
        <v>0</v>
      </c>
      <c r="J25">
        <f t="shared" si="0"/>
        <v>-1.3040499413468758</v>
      </c>
    </row>
    <row r="26" spans="1:10" x14ac:dyDescent="0.5">
      <c r="A26" s="1">
        <v>45331</v>
      </c>
      <c r="B26">
        <v>-2.025750243687E-3</v>
      </c>
      <c r="C26">
        <v>377.530810370023</v>
      </c>
      <c r="D26">
        <v>378.86523849033699</v>
      </c>
      <c r="E26">
        <v>375.391832734064</v>
      </c>
      <c r="F26">
        <v>377.03042602539</v>
      </c>
      <c r="G26">
        <v>2028200</v>
      </c>
      <c r="H26">
        <v>0</v>
      </c>
      <c r="I26">
        <v>0</v>
      </c>
      <c r="J26">
        <f t="shared" si="0"/>
        <v>-1.3150682353842507</v>
      </c>
    </row>
    <row r="27" spans="1:10" x14ac:dyDescent="0.5">
      <c r="A27" s="1">
        <v>45334</v>
      </c>
      <c r="B27">
        <v>2.1808108813178E-2</v>
      </c>
      <c r="C27">
        <v>377.75647387056802</v>
      </c>
      <c r="D27">
        <v>388.89293694608301</v>
      </c>
      <c r="E27">
        <v>377.08927481742302</v>
      </c>
      <c r="F27">
        <v>385.25274658203102</v>
      </c>
      <c r="G27">
        <v>2797200</v>
      </c>
      <c r="H27">
        <v>0</v>
      </c>
      <c r="I27">
        <v>0</v>
      </c>
      <c r="J27">
        <f t="shared" si="0"/>
        <v>-1.1966916525548721</v>
      </c>
    </row>
    <row r="28" spans="1:10" x14ac:dyDescent="0.5">
      <c r="A28" s="1">
        <v>45335</v>
      </c>
      <c r="B28">
        <v>-3.5375898628338599E-2</v>
      </c>
      <c r="C28">
        <v>380.29776248139598</v>
      </c>
      <c r="D28">
        <v>381.83823121929203</v>
      </c>
      <c r="E28">
        <v>368.140887209418</v>
      </c>
      <c r="F28">
        <v>371.62408447265602</v>
      </c>
      <c r="G28">
        <v>3030800</v>
      </c>
      <c r="H28">
        <v>0</v>
      </c>
      <c r="I28">
        <v>0</v>
      </c>
      <c r="J28">
        <f t="shared" si="0"/>
        <v>-1.3929032254229474</v>
      </c>
    </row>
    <row r="29" spans="1:10" x14ac:dyDescent="0.5">
      <c r="A29" s="1">
        <v>45336</v>
      </c>
      <c r="B29">
        <v>-1.87454146533017E-3</v>
      </c>
      <c r="C29">
        <v>373.71402358148703</v>
      </c>
      <c r="D29">
        <v>374.30274100493801</v>
      </c>
      <c r="E29">
        <v>368.70997039728002</v>
      </c>
      <c r="F29">
        <v>370.92745971679602</v>
      </c>
      <c r="G29">
        <v>2041300</v>
      </c>
      <c r="H29">
        <v>0</v>
      </c>
      <c r="I29">
        <v>0</v>
      </c>
      <c r="J29">
        <f t="shared" si="0"/>
        <v>-1.4029325179499157</v>
      </c>
    </row>
    <row r="30" spans="1:10" x14ac:dyDescent="0.5">
      <c r="A30" s="1">
        <v>45337</v>
      </c>
      <c r="B30">
        <v>1.9521741280282601E-2</v>
      </c>
      <c r="C30">
        <v>372.281495357648</v>
      </c>
      <c r="D30">
        <v>379.92491048122901</v>
      </c>
      <c r="E30">
        <v>372.00676455651501</v>
      </c>
      <c r="F30">
        <v>378.16860961914</v>
      </c>
      <c r="G30">
        <v>2218900</v>
      </c>
      <c r="H30">
        <v>0</v>
      </c>
      <c r="I30">
        <v>0</v>
      </c>
      <c r="J30">
        <f t="shared" si="0"/>
        <v>-1.2986818291948492</v>
      </c>
    </row>
    <row r="31" spans="1:10" x14ac:dyDescent="0.5">
      <c r="A31" s="1">
        <v>45338</v>
      </c>
      <c r="B31">
        <v>-2.5426432207868999E-3</v>
      </c>
      <c r="C31">
        <v>376.029626860115</v>
      </c>
      <c r="D31">
        <v>380.28796953075698</v>
      </c>
      <c r="E31">
        <v>373.78273299443799</v>
      </c>
      <c r="F31">
        <v>377.20706176757801</v>
      </c>
      <c r="G31">
        <v>2376500</v>
      </c>
      <c r="H31">
        <v>0</v>
      </c>
      <c r="I31">
        <v>0</v>
      </c>
      <c r="J31">
        <f t="shared" si="0"/>
        <v>-1.3125252141748842</v>
      </c>
    </row>
    <row r="32" spans="1:10" x14ac:dyDescent="0.5">
      <c r="A32" s="1">
        <v>45342</v>
      </c>
      <c r="B32">
        <v>2.0800430668432799E-4</v>
      </c>
      <c r="C32">
        <v>373.78271219580199</v>
      </c>
      <c r="D32">
        <v>378.32557692917698</v>
      </c>
      <c r="E32">
        <v>373.68458763507101</v>
      </c>
      <c r="F32">
        <v>377.28552246093699</v>
      </c>
      <c r="G32">
        <v>2358900</v>
      </c>
      <c r="H32">
        <v>0</v>
      </c>
      <c r="I32">
        <v>0</v>
      </c>
      <c r="J32">
        <f t="shared" si="0"/>
        <v>-1.3113956171587771</v>
      </c>
    </row>
    <row r="33" spans="1:10" x14ac:dyDescent="0.5">
      <c r="A33" s="1">
        <v>45343</v>
      </c>
      <c r="B33">
        <v>9.7524915691247199E-3</v>
      </c>
      <c r="C33">
        <v>374.655978887419</v>
      </c>
      <c r="D33">
        <v>381.34767316926502</v>
      </c>
      <c r="E33">
        <v>374.08690430367199</v>
      </c>
      <c r="F33">
        <v>380.96499633789</v>
      </c>
      <c r="G33">
        <v>1773100</v>
      </c>
      <c r="H33">
        <v>0</v>
      </c>
      <c r="I33">
        <v>0</v>
      </c>
      <c r="J33">
        <f t="shared" si="0"/>
        <v>-1.2584223061374904</v>
      </c>
    </row>
    <row r="34" spans="1:10" x14ac:dyDescent="0.5">
      <c r="A34" s="1">
        <v>45344</v>
      </c>
      <c r="B34">
        <v>5.6661369791599601E-3</v>
      </c>
      <c r="C34">
        <v>381.90693545856902</v>
      </c>
      <c r="D34">
        <v>388.15708381667298</v>
      </c>
      <c r="E34">
        <v>381.68125195927303</v>
      </c>
      <c r="F34">
        <v>383.12359619140602</v>
      </c>
      <c r="G34">
        <v>2326800</v>
      </c>
      <c r="H34">
        <v>0</v>
      </c>
      <c r="I34">
        <v>0</v>
      </c>
      <c r="J34">
        <f t="shared" si="0"/>
        <v>-1.2273449876852394</v>
      </c>
    </row>
    <row r="35" spans="1:10" x14ac:dyDescent="0.5">
      <c r="A35" s="1">
        <v>45345</v>
      </c>
      <c r="B35">
        <v>1.4854000185118199E-3</v>
      </c>
      <c r="C35">
        <v>382.66245489477598</v>
      </c>
      <c r="D35">
        <v>389.32471473722802</v>
      </c>
      <c r="E35">
        <v>381.887309743012</v>
      </c>
      <c r="F35">
        <v>383.69268798828102</v>
      </c>
      <c r="G35">
        <v>2247400</v>
      </c>
      <c r="H35">
        <v>0</v>
      </c>
      <c r="I35">
        <v>0</v>
      </c>
      <c r="J35">
        <f t="shared" si="0"/>
        <v>-1.2191517845905384</v>
      </c>
    </row>
    <row r="36" spans="1:10" x14ac:dyDescent="0.5">
      <c r="A36" s="1">
        <v>45348</v>
      </c>
      <c r="B36">
        <v>-2.12251136218843E-3</v>
      </c>
      <c r="C36">
        <v>383.69266687740702</v>
      </c>
      <c r="D36">
        <v>388.60841695555803</v>
      </c>
      <c r="E36">
        <v>381.504641868205</v>
      </c>
      <c r="F36">
        <v>382.87829589843699</v>
      </c>
      <c r="G36">
        <v>1797800</v>
      </c>
      <c r="H36">
        <v>0</v>
      </c>
      <c r="I36">
        <v>0</v>
      </c>
      <c r="J36">
        <f t="shared" si="0"/>
        <v>-1.2308765710440597</v>
      </c>
    </row>
    <row r="37" spans="1:10" x14ac:dyDescent="0.5">
      <c r="A37" s="1">
        <v>45349</v>
      </c>
      <c r="B37">
        <v>1.51193720211995E-3</v>
      </c>
      <c r="C37">
        <v>384.879915090704</v>
      </c>
      <c r="D37">
        <v>388.45141549436198</v>
      </c>
      <c r="E37">
        <v>382.005018211596</v>
      </c>
      <c r="F37">
        <v>383.45718383789</v>
      </c>
      <c r="G37">
        <v>1724900</v>
      </c>
      <c r="H37">
        <v>0</v>
      </c>
      <c r="I37">
        <v>0</v>
      </c>
      <c r="J37">
        <f t="shared" si="0"/>
        <v>-1.2225423330827045</v>
      </c>
    </row>
    <row r="38" spans="1:10" x14ac:dyDescent="0.5">
      <c r="A38" s="1">
        <v>45350</v>
      </c>
      <c r="B38">
        <v>1.3193820196774699E-2</v>
      </c>
      <c r="C38">
        <v>382.59750655993003</v>
      </c>
      <c r="D38">
        <v>388.59551697446301</v>
      </c>
      <c r="E38">
        <v>382.40975775478501</v>
      </c>
      <c r="F38">
        <v>388.51644897460898</v>
      </c>
      <c r="G38">
        <v>2572900</v>
      </c>
      <c r="H38">
        <v>2.75</v>
      </c>
      <c r="I38">
        <v>0</v>
      </c>
      <c r="J38">
        <f t="shared" si="0"/>
        <v>-1.1497041951887883</v>
      </c>
    </row>
    <row r="39" spans="1:10" x14ac:dyDescent="0.5">
      <c r="A39" s="1">
        <v>45351</v>
      </c>
      <c r="B39">
        <v>-1.0504121976541001E-2</v>
      </c>
      <c r="C39">
        <v>390.532255051611</v>
      </c>
      <c r="D39">
        <v>391.28325026114999</v>
      </c>
      <c r="E39">
        <v>381.09554067231898</v>
      </c>
      <c r="F39">
        <v>384.43542480468699</v>
      </c>
      <c r="G39">
        <v>3139100</v>
      </c>
      <c r="H39">
        <v>0</v>
      </c>
      <c r="I39">
        <v>0</v>
      </c>
      <c r="J39">
        <f t="shared" si="0"/>
        <v>-1.2084586176601035</v>
      </c>
    </row>
    <row r="40" spans="1:10" x14ac:dyDescent="0.5">
      <c r="A40" s="1">
        <v>45352</v>
      </c>
      <c r="B40">
        <v>-2.44173696017679E-3</v>
      </c>
      <c r="C40">
        <v>385.008586014667</v>
      </c>
      <c r="D40">
        <v>386.40186556044398</v>
      </c>
      <c r="E40">
        <v>380.68053256514901</v>
      </c>
      <c r="F40">
        <v>383.49673461914</v>
      </c>
      <c r="G40">
        <v>1697700</v>
      </c>
      <c r="H40">
        <v>0</v>
      </c>
      <c r="I40">
        <v>0</v>
      </c>
      <c r="J40">
        <f t="shared" si="0"/>
        <v>-1.2219729212846173</v>
      </c>
    </row>
    <row r="41" spans="1:10" x14ac:dyDescent="0.5">
      <c r="A41" s="1">
        <v>45355</v>
      </c>
      <c r="B41">
        <v>1.06931002868677E-2</v>
      </c>
      <c r="C41">
        <v>384.19830325705999</v>
      </c>
      <c r="D41">
        <v>391.86627116923199</v>
      </c>
      <c r="E41">
        <v>381.61927506875998</v>
      </c>
      <c r="F41">
        <v>387.59750366210898</v>
      </c>
      <c r="G41">
        <v>1955100</v>
      </c>
      <c r="H41">
        <v>0</v>
      </c>
      <c r="I41">
        <v>0</v>
      </c>
      <c r="J41">
        <f t="shared" si="0"/>
        <v>-1.1629342322752121</v>
      </c>
    </row>
    <row r="42" spans="1:10" x14ac:dyDescent="0.5">
      <c r="A42" s="1">
        <v>45356</v>
      </c>
      <c r="B42">
        <v>-3.4161641062626599E-3</v>
      </c>
      <c r="C42">
        <v>386.08565816635303</v>
      </c>
      <c r="D42">
        <v>392.77534811300598</v>
      </c>
      <c r="E42">
        <v>385.68051757144701</v>
      </c>
      <c r="F42">
        <v>386.27340698242102</v>
      </c>
      <c r="G42">
        <v>2697800</v>
      </c>
      <c r="H42">
        <v>0</v>
      </c>
      <c r="I42">
        <v>0</v>
      </c>
      <c r="J42">
        <f t="shared" si="0"/>
        <v>-1.1819972254043949</v>
      </c>
    </row>
    <row r="43" spans="1:10" x14ac:dyDescent="0.5">
      <c r="A43" s="1">
        <v>45357</v>
      </c>
      <c r="B43">
        <v>-3.4279532924871201E-3</v>
      </c>
      <c r="C43">
        <v>390.31486679257898</v>
      </c>
      <c r="D43">
        <v>390.60143551809801</v>
      </c>
      <c r="E43">
        <v>379.959160230267</v>
      </c>
      <c r="F43">
        <v>384.94927978515602</v>
      </c>
      <c r="G43">
        <v>2692400</v>
      </c>
      <c r="H43">
        <v>0</v>
      </c>
      <c r="I43">
        <v>0</v>
      </c>
      <c r="J43">
        <f t="shared" si="0"/>
        <v>-1.2010606578945173</v>
      </c>
    </row>
    <row r="44" spans="1:10" x14ac:dyDescent="0.5">
      <c r="A44" s="1">
        <v>45358</v>
      </c>
      <c r="B44">
        <v>-2.9262682200072998E-3</v>
      </c>
      <c r="C44">
        <v>387.25165839194801</v>
      </c>
      <c r="D44">
        <v>389.83071679841697</v>
      </c>
      <c r="E44">
        <v>382.46906937013199</v>
      </c>
      <c r="F44">
        <v>383.82281494140602</v>
      </c>
      <c r="G44">
        <v>2033100</v>
      </c>
      <c r="H44">
        <v>0</v>
      </c>
      <c r="I44">
        <v>0</v>
      </c>
      <c r="J44">
        <f t="shared" si="0"/>
        <v>-1.2172783494770782</v>
      </c>
    </row>
    <row r="45" spans="1:10" x14ac:dyDescent="0.5">
      <c r="A45" s="1">
        <v>45359</v>
      </c>
      <c r="B45">
        <v>-3.7072916456297698E-3</v>
      </c>
      <c r="C45">
        <v>384.11925405649401</v>
      </c>
      <c r="D45">
        <v>390.92751554906999</v>
      </c>
      <c r="E45">
        <v>382.12319413419903</v>
      </c>
      <c r="F45">
        <v>382.39987182617102</v>
      </c>
      <c r="G45">
        <v>1657200</v>
      </c>
      <c r="H45">
        <v>0</v>
      </c>
      <c r="I45">
        <v>0</v>
      </c>
      <c r="J45">
        <f t="shared" si="0"/>
        <v>-1.2377644327405266</v>
      </c>
    </row>
    <row r="46" spans="1:10" x14ac:dyDescent="0.5">
      <c r="A46" s="1">
        <v>45362</v>
      </c>
      <c r="B46">
        <v>-2.1446905581182698E-3</v>
      </c>
      <c r="C46">
        <v>381.09556399354801</v>
      </c>
      <c r="D46">
        <v>381.82677717035801</v>
      </c>
      <c r="E46">
        <v>376.89597343534598</v>
      </c>
      <c r="F46">
        <v>381.57974243164</v>
      </c>
      <c r="G46">
        <v>1654200</v>
      </c>
      <c r="H46">
        <v>0</v>
      </c>
      <c r="I46">
        <v>0</v>
      </c>
      <c r="J46">
        <f t="shared" si="0"/>
        <v>-1.2495718190536393</v>
      </c>
    </row>
    <row r="47" spans="1:10" x14ac:dyDescent="0.5">
      <c r="A47" s="1">
        <v>45363</v>
      </c>
      <c r="B47">
        <v>5.2309713878517699E-3</v>
      </c>
      <c r="C47">
        <v>383.02241974004698</v>
      </c>
      <c r="D47">
        <v>384.51451922290801</v>
      </c>
      <c r="E47">
        <v>379.22796974350598</v>
      </c>
      <c r="F47">
        <v>383.57577514648398</v>
      </c>
      <c r="G47">
        <v>1703900</v>
      </c>
      <c r="H47">
        <v>0</v>
      </c>
      <c r="I47">
        <v>0</v>
      </c>
      <c r="J47">
        <f t="shared" si="0"/>
        <v>-1.2208349764103499</v>
      </c>
    </row>
    <row r="48" spans="1:10" x14ac:dyDescent="0.5">
      <c r="A48" s="1">
        <v>45364</v>
      </c>
      <c r="B48">
        <v>1.0639421033206101E-2</v>
      </c>
      <c r="C48">
        <v>384.29713282865703</v>
      </c>
      <c r="D48">
        <v>390.561930318701</v>
      </c>
      <c r="E48">
        <v>383.57578052005698</v>
      </c>
      <c r="F48">
        <v>387.65679931640602</v>
      </c>
      <c r="G48">
        <v>2370600</v>
      </c>
      <c r="H48">
        <v>0</v>
      </c>
      <c r="I48">
        <v>0</v>
      </c>
      <c r="J48">
        <f t="shared" si="0"/>
        <v>-1.162080553939034</v>
      </c>
    </row>
    <row r="49" spans="1:10" x14ac:dyDescent="0.5">
      <c r="A49" s="1">
        <v>45365</v>
      </c>
      <c r="B49">
        <v>-9.4313525162842398E-3</v>
      </c>
      <c r="C49">
        <v>389.75164744039301</v>
      </c>
      <c r="D49">
        <v>391.67853049779802</v>
      </c>
      <c r="E49">
        <v>380.87817877252002</v>
      </c>
      <c r="F49">
        <v>384.00067138671801</v>
      </c>
      <c r="G49">
        <v>3029500</v>
      </c>
      <c r="H49">
        <v>0</v>
      </c>
      <c r="I49">
        <v>0</v>
      </c>
      <c r="J49">
        <f t="shared" si="0"/>
        <v>-1.214717753829514</v>
      </c>
    </row>
    <row r="50" spans="1:10" x14ac:dyDescent="0.5">
      <c r="A50" s="1">
        <v>45366</v>
      </c>
      <c r="B50">
        <v>-3.6025779043266002E-3</v>
      </c>
      <c r="C50">
        <v>384.25759334841399</v>
      </c>
      <c r="D50">
        <v>386.49079705244702</v>
      </c>
      <c r="E50">
        <v>381.81688890592</v>
      </c>
      <c r="F50">
        <v>382.61727905273398</v>
      </c>
      <c r="G50">
        <v>3763500</v>
      </c>
      <c r="H50">
        <v>0</v>
      </c>
      <c r="I50">
        <v>0</v>
      </c>
      <c r="J50">
        <f t="shared" si="0"/>
        <v>-1.2346344252948611</v>
      </c>
    </row>
    <row r="51" spans="1:10" x14ac:dyDescent="0.5">
      <c r="A51" s="1">
        <v>45369</v>
      </c>
      <c r="B51">
        <v>-7.33457583558838E-3</v>
      </c>
      <c r="C51">
        <v>384.04017688300399</v>
      </c>
      <c r="D51">
        <v>384.41567448934302</v>
      </c>
      <c r="E51">
        <v>378.86233870449502</v>
      </c>
      <c r="F51">
        <v>379.810943603515</v>
      </c>
      <c r="G51">
        <v>2069000</v>
      </c>
      <c r="H51">
        <v>0</v>
      </c>
      <c r="I51">
        <v>0</v>
      </c>
      <c r="J51">
        <f t="shared" si="0"/>
        <v>-1.2750371800236555</v>
      </c>
    </row>
    <row r="52" spans="1:10" x14ac:dyDescent="0.5">
      <c r="A52" s="1">
        <v>45370</v>
      </c>
      <c r="B52">
        <v>1.1161173245741699E-2</v>
      </c>
      <c r="C52">
        <v>379.51452528520298</v>
      </c>
      <c r="D52">
        <v>386.144929048005</v>
      </c>
      <c r="E52">
        <v>379.15877959023499</v>
      </c>
      <c r="F52">
        <v>384.05007934570301</v>
      </c>
      <c r="G52">
        <v>1858200</v>
      </c>
      <c r="H52">
        <v>0</v>
      </c>
      <c r="I52">
        <v>0</v>
      </c>
      <c r="J52">
        <f t="shared" si="0"/>
        <v>-1.2140064284428511</v>
      </c>
    </row>
    <row r="53" spans="1:10" x14ac:dyDescent="0.5">
      <c r="A53" s="1">
        <v>45371</v>
      </c>
      <c r="B53">
        <v>2.0094635065703099E-2</v>
      </c>
      <c r="C53">
        <v>381.77732571367301</v>
      </c>
      <c r="D53">
        <v>391.79706849747998</v>
      </c>
      <c r="E53">
        <v>381.421610189224</v>
      </c>
      <c r="F53">
        <v>391.76742553710898</v>
      </c>
      <c r="G53">
        <v>2157400</v>
      </c>
      <c r="H53">
        <v>0</v>
      </c>
      <c r="I53">
        <v>0</v>
      </c>
    </row>
    <row r="54" spans="1:10" x14ac:dyDescent="0.5">
      <c r="A54" s="1">
        <v>45372</v>
      </c>
      <c r="B54">
        <v>4.34837644747567E-2</v>
      </c>
      <c r="C54">
        <v>395.028288911125</v>
      </c>
      <c r="D54">
        <v>409.109268653681</v>
      </c>
      <c r="E54">
        <v>394.35636167654502</v>
      </c>
      <c r="F54">
        <v>408.80294799804602</v>
      </c>
      <c r="G54">
        <v>4613800</v>
      </c>
      <c r="H54">
        <v>0</v>
      </c>
      <c r="I54">
        <v>0</v>
      </c>
    </row>
    <row r="55" spans="1:10" x14ac:dyDescent="0.5">
      <c r="A55" s="1">
        <v>45373</v>
      </c>
      <c r="B55">
        <v>-1.6654131507567199E-2</v>
      </c>
      <c r="C55">
        <v>409.484769821989</v>
      </c>
      <c r="D55">
        <v>411.81679339627698</v>
      </c>
      <c r="E55">
        <v>400.967017002452</v>
      </c>
      <c r="F55">
        <v>401.99468994140602</v>
      </c>
      <c r="G55">
        <v>2189600</v>
      </c>
      <c r="H55">
        <v>0</v>
      </c>
      <c r="I55">
        <v>0</v>
      </c>
    </row>
    <row r="56" spans="1:10" x14ac:dyDescent="0.5">
      <c r="A56" s="1">
        <v>45376</v>
      </c>
      <c r="B56">
        <v>-4.6211966965880001E-3</v>
      </c>
      <c r="C56">
        <v>402.04409436619898</v>
      </c>
      <c r="D56">
        <v>405.59150961865402</v>
      </c>
      <c r="E56">
        <v>399.06978644283998</v>
      </c>
      <c r="F56">
        <v>400.13699340820301</v>
      </c>
      <c r="G56">
        <v>1683900</v>
      </c>
      <c r="H56">
        <v>0</v>
      </c>
      <c r="I56">
        <v>0</v>
      </c>
    </row>
    <row r="57" spans="1:10" x14ac:dyDescent="0.5">
      <c r="A57" s="1">
        <v>45377</v>
      </c>
      <c r="B57">
        <v>3.0621531672998499E-3</v>
      </c>
      <c r="C57">
        <v>401.27334528249702</v>
      </c>
      <c r="D57">
        <v>404.47490585220999</v>
      </c>
      <c r="E57">
        <v>399.72195988322898</v>
      </c>
      <c r="F57">
        <v>401.36227416992102</v>
      </c>
      <c r="G57">
        <v>1407000</v>
      </c>
      <c r="H57">
        <v>0</v>
      </c>
      <c r="I57">
        <v>0</v>
      </c>
    </row>
    <row r="58" spans="1:10" x14ac:dyDescent="0.5">
      <c r="A58" s="1">
        <v>45378</v>
      </c>
      <c r="B58">
        <v>2.2330033085107E-2</v>
      </c>
      <c r="C58">
        <v>404.76147980879398</v>
      </c>
      <c r="D58">
        <v>410.56185073410398</v>
      </c>
      <c r="E58">
        <v>403.52630609708098</v>
      </c>
      <c r="F58">
        <v>410.32470703125</v>
      </c>
      <c r="G58">
        <v>2353600</v>
      </c>
      <c r="H58">
        <v>0</v>
      </c>
      <c r="I58">
        <v>0</v>
      </c>
    </row>
    <row r="59" spans="1:10" x14ac:dyDescent="0.5">
      <c r="A59" s="1">
        <v>45379</v>
      </c>
      <c r="B59">
        <v>5.8759348838870401E-3</v>
      </c>
      <c r="C59">
        <v>411.27329183203699</v>
      </c>
      <c r="D59">
        <v>414.22784771139698</v>
      </c>
      <c r="E59">
        <v>410.05790025889502</v>
      </c>
      <c r="F59">
        <v>412.735748291015</v>
      </c>
      <c r="G59">
        <v>2409700</v>
      </c>
      <c r="H59">
        <v>0</v>
      </c>
      <c r="I59">
        <v>0</v>
      </c>
    </row>
    <row r="60" spans="1:10" x14ac:dyDescent="0.5">
      <c r="A60" s="1">
        <v>45383</v>
      </c>
      <c r="B60">
        <v>-1.00074494298321E-2</v>
      </c>
      <c r="C60">
        <v>411.73769951110501</v>
      </c>
      <c r="D60">
        <v>412.99265518289701</v>
      </c>
      <c r="E60">
        <v>407.11321680992899</v>
      </c>
      <c r="F60">
        <v>408.60531616210898</v>
      </c>
      <c r="G60">
        <v>1863900</v>
      </c>
      <c r="H60">
        <v>0</v>
      </c>
      <c r="I60">
        <v>0</v>
      </c>
    </row>
    <row r="61" spans="1:10" x14ac:dyDescent="0.5">
      <c r="A61" s="1">
        <v>45384</v>
      </c>
      <c r="B61">
        <v>-8.1255168819537298E-3</v>
      </c>
      <c r="C61">
        <v>405.86818513293798</v>
      </c>
      <c r="D61">
        <v>408.269385714252</v>
      </c>
      <c r="E61">
        <v>402.78519641515101</v>
      </c>
      <c r="F61">
        <v>405.28518676757801</v>
      </c>
      <c r="G61">
        <v>1976000</v>
      </c>
      <c r="H61">
        <v>0</v>
      </c>
      <c r="I61">
        <v>0</v>
      </c>
    </row>
    <row r="62" spans="1:10" x14ac:dyDescent="0.5">
      <c r="A62" s="1">
        <v>45385</v>
      </c>
      <c r="B62">
        <v>9.3867760610855094E-3</v>
      </c>
      <c r="C62">
        <v>406.12509133159199</v>
      </c>
      <c r="D62">
        <v>411.68831821049599</v>
      </c>
      <c r="E62">
        <v>406.12509133159199</v>
      </c>
      <c r="F62">
        <v>409.08950805664</v>
      </c>
      <c r="G62">
        <v>1549200</v>
      </c>
      <c r="H62">
        <v>0</v>
      </c>
      <c r="I62">
        <v>0</v>
      </c>
    </row>
    <row r="63" spans="1:10" x14ac:dyDescent="0.5">
      <c r="A63" s="1">
        <v>45386</v>
      </c>
      <c r="B63">
        <v>-1.8719743201160401E-2</v>
      </c>
      <c r="C63">
        <v>413.04209044471099</v>
      </c>
      <c r="D63">
        <v>414.03022941706701</v>
      </c>
      <c r="E63">
        <v>400.88799314697798</v>
      </c>
      <c r="F63">
        <v>401.43145751953102</v>
      </c>
      <c r="G63">
        <v>1704700</v>
      </c>
      <c r="H63">
        <v>0</v>
      </c>
      <c r="I63">
        <v>0</v>
      </c>
    </row>
    <row r="64" spans="1:10" x14ac:dyDescent="0.5">
      <c r="A64" s="1">
        <v>45387</v>
      </c>
      <c r="B64">
        <v>4.47996998047606E-3</v>
      </c>
      <c r="C64">
        <v>401.73775897175801</v>
      </c>
      <c r="D64">
        <v>404.287174285628</v>
      </c>
      <c r="E64">
        <v>396.70813546172798</v>
      </c>
      <c r="F64">
        <v>403.22985839843699</v>
      </c>
      <c r="G64">
        <v>1694500</v>
      </c>
      <c r="H64">
        <v>0</v>
      </c>
      <c r="I64">
        <v>0</v>
      </c>
    </row>
    <row r="65" spans="1:9" x14ac:dyDescent="0.5">
      <c r="A65" s="1">
        <v>45390</v>
      </c>
      <c r="B65">
        <v>6.0528859529331803E-3</v>
      </c>
      <c r="C65">
        <v>404.24764027958298</v>
      </c>
      <c r="D65">
        <v>407.63694955524699</v>
      </c>
      <c r="E65">
        <v>402.71600685235097</v>
      </c>
      <c r="F65">
        <v>405.67056274414</v>
      </c>
      <c r="G65">
        <v>1181900</v>
      </c>
      <c r="H65">
        <v>0</v>
      </c>
      <c r="I65">
        <v>0</v>
      </c>
    </row>
    <row r="66" spans="1:9" x14ac:dyDescent="0.5">
      <c r="A66" s="1">
        <v>45391</v>
      </c>
      <c r="B66">
        <v>4.1405210391354198E-4</v>
      </c>
      <c r="C66">
        <v>406.62906073149901</v>
      </c>
      <c r="D66">
        <v>408.31876985821901</v>
      </c>
      <c r="E66">
        <v>402.22193939169</v>
      </c>
      <c r="F66">
        <v>405.83853149414</v>
      </c>
      <c r="G66">
        <v>1247800</v>
      </c>
      <c r="H66">
        <v>0</v>
      </c>
      <c r="I66">
        <v>0</v>
      </c>
    </row>
    <row r="67" spans="1:9" x14ac:dyDescent="0.5">
      <c r="A67" s="1">
        <v>45392</v>
      </c>
      <c r="B67">
        <v>-2.4226235150881799E-2</v>
      </c>
      <c r="C67">
        <v>399.21804351854797</v>
      </c>
      <c r="D67">
        <v>400.64096607844601</v>
      </c>
      <c r="E67">
        <v>392.57774829089402</v>
      </c>
      <c r="F67">
        <v>396.006591796875</v>
      </c>
      <c r="G67">
        <v>1903300</v>
      </c>
      <c r="H67">
        <v>0</v>
      </c>
      <c r="I67">
        <v>0</v>
      </c>
    </row>
    <row r="68" spans="1:9" x14ac:dyDescent="0.5">
      <c r="A68" s="1">
        <v>45393</v>
      </c>
      <c r="B68">
        <v>-8.1844316087797894E-3</v>
      </c>
      <c r="C68">
        <v>395.72991994745098</v>
      </c>
      <c r="D68">
        <v>396.70816791351899</v>
      </c>
      <c r="E68">
        <v>390.156801479362</v>
      </c>
      <c r="F68">
        <v>392.76550292968699</v>
      </c>
      <c r="G68">
        <v>2176200</v>
      </c>
      <c r="H68">
        <v>0</v>
      </c>
      <c r="I68">
        <v>0</v>
      </c>
    </row>
    <row r="69" spans="1:9" x14ac:dyDescent="0.5">
      <c r="A69" s="1">
        <v>45394</v>
      </c>
      <c r="B69">
        <v>-2.0101801534404402E-2</v>
      </c>
      <c r="C69">
        <v>388.18048007112299</v>
      </c>
      <c r="D69">
        <v>389.415653690439</v>
      </c>
      <c r="E69">
        <v>382.52832438290699</v>
      </c>
      <c r="F69">
        <v>384.87020874023398</v>
      </c>
      <c r="G69">
        <v>2814900</v>
      </c>
      <c r="H69">
        <v>0</v>
      </c>
      <c r="I69">
        <v>0</v>
      </c>
    </row>
    <row r="70" spans="1:9" x14ac:dyDescent="0.5">
      <c r="A70" s="1">
        <v>45397</v>
      </c>
      <c r="B70">
        <v>2.9243399656517701E-2</v>
      </c>
      <c r="C70">
        <v>402.17252723728802</v>
      </c>
      <c r="D70">
        <v>407.972897682373</v>
      </c>
      <c r="E70">
        <v>393.961095494105</v>
      </c>
      <c r="F70">
        <v>396.12512207031199</v>
      </c>
      <c r="G70">
        <v>6177000</v>
      </c>
      <c r="H70">
        <v>0</v>
      </c>
      <c r="I70">
        <v>0</v>
      </c>
    </row>
    <row r="71" spans="1:9" x14ac:dyDescent="0.5">
      <c r="A71" s="1">
        <v>45398</v>
      </c>
      <c r="B71">
        <v>-1.00279440391956E-2</v>
      </c>
      <c r="C71">
        <v>399.652802533677</v>
      </c>
      <c r="D71">
        <v>400.16662392155803</v>
      </c>
      <c r="E71">
        <v>390.49273534765001</v>
      </c>
      <c r="F71">
        <v>392.15280151367102</v>
      </c>
      <c r="G71">
        <v>3459700</v>
      </c>
      <c r="H71">
        <v>0</v>
      </c>
      <c r="I71">
        <v>0</v>
      </c>
    </row>
    <row r="72" spans="1:9" x14ac:dyDescent="0.5">
      <c r="A72" s="1">
        <v>45399</v>
      </c>
      <c r="B72">
        <v>1.7764582165861801E-2</v>
      </c>
      <c r="C72">
        <v>397.62713261898801</v>
      </c>
      <c r="D72">
        <v>402.291149964449</v>
      </c>
      <c r="E72">
        <v>396.42160181745299</v>
      </c>
      <c r="F72">
        <v>399.11923217773398</v>
      </c>
      <c r="G72">
        <v>4373800</v>
      </c>
      <c r="H72">
        <v>0</v>
      </c>
      <c r="I72">
        <v>0</v>
      </c>
    </row>
    <row r="73" spans="1:9" x14ac:dyDescent="0.5">
      <c r="A73" s="1">
        <v>45400</v>
      </c>
      <c r="B73">
        <v>-1.9807561189536501E-3</v>
      </c>
      <c r="C73">
        <v>400.68044982256299</v>
      </c>
      <c r="D73">
        <v>403.02233428950899</v>
      </c>
      <c r="E73">
        <v>397.63699515057601</v>
      </c>
      <c r="F73">
        <v>398.32867431640602</v>
      </c>
      <c r="G73">
        <v>2776300</v>
      </c>
      <c r="H73">
        <v>0</v>
      </c>
      <c r="I73">
        <v>0</v>
      </c>
    </row>
    <row r="74" spans="1:9" x14ac:dyDescent="0.5">
      <c r="A74" s="1">
        <v>45401</v>
      </c>
      <c r="B74">
        <v>2.2078640658134102E-3</v>
      </c>
      <c r="C74">
        <v>399.26741580648502</v>
      </c>
      <c r="D74">
        <v>403.16068562422601</v>
      </c>
      <c r="E74">
        <v>398.22988198660602</v>
      </c>
      <c r="F74">
        <v>399.20812988281199</v>
      </c>
      <c r="G74">
        <v>2805100</v>
      </c>
      <c r="H74">
        <v>0</v>
      </c>
      <c r="I74">
        <v>0</v>
      </c>
    </row>
    <row r="75" spans="1:9" x14ac:dyDescent="0.5">
      <c r="A75" s="1">
        <v>45404</v>
      </c>
      <c r="B75">
        <v>3.30445434427835E-2</v>
      </c>
      <c r="C75">
        <v>402.11325059782803</v>
      </c>
      <c r="D75">
        <v>413.02231261186603</v>
      </c>
      <c r="E75">
        <v>399.77136620515103</v>
      </c>
      <c r="F75">
        <v>412.39978027343699</v>
      </c>
      <c r="G75">
        <v>4165600</v>
      </c>
      <c r="H75">
        <v>0</v>
      </c>
      <c r="I75">
        <v>0</v>
      </c>
    </row>
    <row r="76" spans="1:9" x14ac:dyDescent="0.5">
      <c r="A76" s="1">
        <v>45405</v>
      </c>
      <c r="B76">
        <v>1.5933899068162501E-2</v>
      </c>
      <c r="C76">
        <v>412.75551428007702</v>
      </c>
      <c r="D76">
        <v>420.30491036786998</v>
      </c>
      <c r="E76">
        <v>411.26344496445302</v>
      </c>
      <c r="F76">
        <v>418.97091674804602</v>
      </c>
      <c r="G76">
        <v>2662300</v>
      </c>
      <c r="H76">
        <v>0</v>
      </c>
      <c r="I76">
        <v>0</v>
      </c>
    </row>
    <row r="77" spans="1:9" x14ac:dyDescent="0.5">
      <c r="A77" s="1">
        <v>45406</v>
      </c>
      <c r="B77">
        <v>-2.2641390142312799E-3</v>
      </c>
      <c r="C77">
        <v>416.50056592850598</v>
      </c>
      <c r="D77">
        <v>419.54402061510399</v>
      </c>
      <c r="E77">
        <v>414.632968845025</v>
      </c>
      <c r="F77">
        <v>418.02230834960898</v>
      </c>
      <c r="G77">
        <v>1575900</v>
      </c>
      <c r="H77">
        <v>0</v>
      </c>
      <c r="I77">
        <v>0</v>
      </c>
    </row>
    <row r="78" spans="1:9" x14ac:dyDescent="0.5">
      <c r="A78" s="1">
        <v>45407</v>
      </c>
      <c r="B78">
        <v>-7.06794653576448E-3</v>
      </c>
      <c r="C78">
        <v>415.99660203800602</v>
      </c>
      <c r="D78">
        <v>418.58552123178401</v>
      </c>
      <c r="E78">
        <v>409.92944463698802</v>
      </c>
      <c r="F78">
        <v>415.06774902343699</v>
      </c>
      <c r="G78">
        <v>1970100</v>
      </c>
      <c r="H78">
        <v>0</v>
      </c>
      <c r="I78">
        <v>0</v>
      </c>
    </row>
    <row r="79" spans="1:9" x14ac:dyDescent="0.5">
      <c r="A79" s="1">
        <v>45408</v>
      </c>
      <c r="B79">
        <v>1.7902659669111198E-2</v>
      </c>
      <c r="C79">
        <v>415.24562961262598</v>
      </c>
      <c r="D79">
        <v>423.44717059438301</v>
      </c>
      <c r="E79">
        <v>414.66263126793098</v>
      </c>
      <c r="F79">
        <v>422.49856567382801</v>
      </c>
      <c r="G79">
        <v>2322700</v>
      </c>
      <c r="H79">
        <v>0</v>
      </c>
      <c r="I79">
        <v>0</v>
      </c>
    </row>
    <row r="80" spans="1:9" x14ac:dyDescent="0.5">
      <c r="A80" s="1">
        <v>45411</v>
      </c>
      <c r="B80">
        <v>7.5777751244849798E-3</v>
      </c>
      <c r="C80">
        <v>422.49860404998998</v>
      </c>
      <c r="D80">
        <v>428.19026424591101</v>
      </c>
      <c r="E80">
        <v>422.132997440922</v>
      </c>
      <c r="F80">
        <v>425.70016479492102</v>
      </c>
      <c r="G80">
        <v>2453000</v>
      </c>
      <c r="H80">
        <v>0</v>
      </c>
      <c r="I80">
        <v>0</v>
      </c>
    </row>
    <row r="81" spans="1:9" x14ac:dyDescent="0.5">
      <c r="A81" s="1">
        <v>45412</v>
      </c>
      <c r="B81">
        <v>-9.5170073601316095E-3</v>
      </c>
      <c r="C81">
        <v>423.41755040056302</v>
      </c>
      <c r="D81">
        <v>426.273286510395</v>
      </c>
      <c r="E81">
        <v>420.94720296532</v>
      </c>
      <c r="F81">
        <v>421.64877319335898</v>
      </c>
      <c r="G81">
        <v>1829900</v>
      </c>
      <c r="H81">
        <v>0</v>
      </c>
      <c r="I81">
        <v>0</v>
      </c>
    </row>
    <row r="82" spans="1:9" x14ac:dyDescent="0.5">
      <c r="A82" s="1">
        <v>45413</v>
      </c>
      <c r="B82">
        <v>5.6243991370652502E-4</v>
      </c>
      <c r="C82">
        <v>421.62899952316002</v>
      </c>
      <c r="D82">
        <v>428.289046215268</v>
      </c>
      <c r="E82">
        <v>420.14679113846398</v>
      </c>
      <c r="F82">
        <v>421.88592529296801</v>
      </c>
      <c r="G82">
        <v>2310100</v>
      </c>
      <c r="H82">
        <v>0</v>
      </c>
      <c r="I82">
        <v>0</v>
      </c>
    </row>
    <row r="83" spans="1:9" x14ac:dyDescent="0.5">
      <c r="A83" s="1">
        <v>45414</v>
      </c>
      <c r="B83">
        <v>1.31631429105061E-2</v>
      </c>
      <c r="C83">
        <v>426.08552449185697</v>
      </c>
      <c r="D83">
        <v>428.50644681002501</v>
      </c>
      <c r="E83">
        <v>423.09146469933</v>
      </c>
      <c r="F83">
        <v>427.43927001953102</v>
      </c>
      <c r="G83">
        <v>2087500</v>
      </c>
      <c r="H83">
        <v>0</v>
      </c>
      <c r="I83">
        <v>0</v>
      </c>
    </row>
    <row r="84" spans="1:9" x14ac:dyDescent="0.5">
      <c r="A84" s="1">
        <v>45415</v>
      </c>
      <c r="B84">
        <v>1.29689219088797E-2</v>
      </c>
      <c r="C84">
        <v>429.840422064422</v>
      </c>
      <c r="D84">
        <v>437.05382398165102</v>
      </c>
      <c r="E84">
        <v>429.76138422078498</v>
      </c>
      <c r="F84">
        <v>432.98269653320301</v>
      </c>
      <c r="G84">
        <v>2406300</v>
      </c>
      <c r="H84">
        <v>0</v>
      </c>
      <c r="I84">
        <v>0</v>
      </c>
    </row>
    <row r="85" spans="1:9" x14ac:dyDescent="0.5">
      <c r="A85" s="1">
        <v>45418</v>
      </c>
      <c r="B85">
        <v>1.25291998993231E-2</v>
      </c>
      <c r="C85">
        <v>436.51038322956401</v>
      </c>
      <c r="D85">
        <v>439.109193505267</v>
      </c>
      <c r="E85">
        <v>434.46492835603198</v>
      </c>
      <c r="F85">
        <v>438.407623291015</v>
      </c>
      <c r="G85">
        <v>1914300</v>
      </c>
      <c r="H85">
        <v>0</v>
      </c>
      <c r="I85">
        <v>0</v>
      </c>
    </row>
    <row r="86" spans="1:9" x14ac:dyDescent="0.5">
      <c r="A86" s="1">
        <v>45419</v>
      </c>
      <c r="B86">
        <v>2.92919105251865E-4</v>
      </c>
      <c r="C86">
        <v>439.88981691280702</v>
      </c>
      <c r="D86">
        <v>442.11312948598101</v>
      </c>
      <c r="E86">
        <v>437.61707930019901</v>
      </c>
      <c r="F86">
        <v>438.536041259765</v>
      </c>
      <c r="G86">
        <v>2058200</v>
      </c>
      <c r="H86">
        <v>0</v>
      </c>
      <c r="I86">
        <v>0</v>
      </c>
    </row>
    <row r="87" spans="1:9" x14ac:dyDescent="0.5">
      <c r="A87" s="1">
        <v>45420</v>
      </c>
      <c r="B87">
        <v>7.0978679186683904E-3</v>
      </c>
      <c r="C87">
        <v>437.54791142470401</v>
      </c>
      <c r="D87">
        <v>442.70599790780699</v>
      </c>
      <c r="E87">
        <v>436.80680721825598</v>
      </c>
      <c r="F87">
        <v>441.64871215820301</v>
      </c>
      <c r="G87">
        <v>2006700</v>
      </c>
      <c r="H87">
        <v>0</v>
      </c>
      <c r="I87">
        <v>0</v>
      </c>
    </row>
    <row r="88" spans="1:9" x14ac:dyDescent="0.5">
      <c r="A88" s="1">
        <v>45421</v>
      </c>
      <c r="B88">
        <v>1.92638930012516E-2</v>
      </c>
      <c r="C88">
        <v>441.04594320533698</v>
      </c>
      <c r="D88">
        <v>451.01626177032301</v>
      </c>
      <c r="E88">
        <v>441.04594320533698</v>
      </c>
      <c r="F88">
        <v>450.15658569335898</v>
      </c>
      <c r="G88">
        <v>2710200</v>
      </c>
      <c r="H88">
        <v>0</v>
      </c>
      <c r="I88">
        <v>0</v>
      </c>
    </row>
    <row r="89" spans="1:9" x14ac:dyDescent="0.5">
      <c r="A89" s="1">
        <v>45422</v>
      </c>
      <c r="B89">
        <v>-1.8219436040153301E-3</v>
      </c>
      <c r="C89">
        <v>451.105172751103</v>
      </c>
      <c r="D89">
        <v>453.30873341752198</v>
      </c>
      <c r="E89">
        <v>448.93128520191999</v>
      </c>
      <c r="F89">
        <v>449.33642578125</v>
      </c>
      <c r="G89">
        <v>1823900</v>
      </c>
      <c r="H89">
        <v>0</v>
      </c>
      <c r="I89">
        <v>0</v>
      </c>
    </row>
    <row r="90" spans="1:9" x14ac:dyDescent="0.5">
      <c r="A90" s="1">
        <v>45425</v>
      </c>
      <c r="B90">
        <v>-2.57296729878364E-3</v>
      </c>
      <c r="C90">
        <v>450.85814595115198</v>
      </c>
      <c r="D90">
        <v>451.777138089022</v>
      </c>
      <c r="E90">
        <v>447.94315415436103</v>
      </c>
      <c r="F90">
        <v>448.18029785156199</v>
      </c>
      <c r="G90">
        <v>1579600</v>
      </c>
      <c r="H90">
        <v>0</v>
      </c>
      <c r="I90">
        <v>0</v>
      </c>
    </row>
    <row r="91" spans="1:9" x14ac:dyDescent="0.5">
      <c r="A91" s="1">
        <v>45426</v>
      </c>
      <c r="B91">
        <v>1.0825500688684301E-2</v>
      </c>
      <c r="C91">
        <v>449.44512469500501</v>
      </c>
      <c r="D91">
        <v>456.29292050755299</v>
      </c>
      <c r="E91">
        <v>448.62498261983501</v>
      </c>
      <c r="F91">
        <v>453.03207397460898</v>
      </c>
      <c r="G91">
        <v>2412900</v>
      </c>
      <c r="H91">
        <v>0</v>
      </c>
      <c r="I91">
        <v>0</v>
      </c>
    </row>
    <row r="92" spans="1:9" x14ac:dyDescent="0.5">
      <c r="A92" s="1">
        <v>45427</v>
      </c>
      <c r="B92">
        <v>1.66205286577156E-2</v>
      </c>
      <c r="C92">
        <v>456.11508100771198</v>
      </c>
      <c r="D92">
        <v>460.66052647487402</v>
      </c>
      <c r="E92">
        <v>455.48268772361502</v>
      </c>
      <c r="F92">
        <v>460.56170654296801</v>
      </c>
      <c r="G92">
        <v>2217700</v>
      </c>
      <c r="H92">
        <v>0</v>
      </c>
      <c r="I92">
        <v>0</v>
      </c>
    </row>
    <row r="93" spans="1:9" x14ac:dyDescent="0.5">
      <c r="A93" s="1">
        <v>45428</v>
      </c>
      <c r="B93">
        <v>-3.3685434483595698E-3</v>
      </c>
      <c r="C93">
        <v>458.86206961560498</v>
      </c>
      <c r="D93">
        <v>462.69605348486198</v>
      </c>
      <c r="E93">
        <v>456.79686287275501</v>
      </c>
      <c r="F93">
        <v>459.01028442382801</v>
      </c>
      <c r="G93">
        <v>2070300</v>
      </c>
      <c r="H93">
        <v>0</v>
      </c>
      <c r="I93">
        <v>0</v>
      </c>
    </row>
    <row r="94" spans="1:9" x14ac:dyDescent="0.5">
      <c r="A94" s="1">
        <v>45429</v>
      </c>
      <c r="B94">
        <v>6.8888398520587897E-3</v>
      </c>
      <c r="C94">
        <v>460.84823024130498</v>
      </c>
      <c r="D94">
        <v>463.10118575267001</v>
      </c>
      <c r="E94">
        <v>458.74348953550202</v>
      </c>
      <c r="F94">
        <v>462.17233276367102</v>
      </c>
      <c r="G94">
        <v>1655900</v>
      </c>
      <c r="H94">
        <v>0</v>
      </c>
      <c r="I94">
        <v>0</v>
      </c>
    </row>
    <row r="95" spans="1:9" x14ac:dyDescent="0.5">
      <c r="A95" s="1">
        <v>45432</v>
      </c>
      <c r="B95">
        <v>-1.0219708681648201E-2</v>
      </c>
      <c r="C95">
        <v>462.64668689611199</v>
      </c>
      <c r="D95">
        <v>465.88778157509699</v>
      </c>
      <c r="E95">
        <v>457.11310252438801</v>
      </c>
      <c r="F95">
        <v>457.44906616210898</v>
      </c>
      <c r="G95">
        <v>2591500</v>
      </c>
      <c r="H95">
        <v>0</v>
      </c>
      <c r="I95">
        <v>0</v>
      </c>
    </row>
    <row r="96" spans="1:9" x14ac:dyDescent="0.5">
      <c r="A96" s="1">
        <v>45433</v>
      </c>
      <c r="B96">
        <v>1.6135956371615599E-2</v>
      </c>
      <c r="C96">
        <v>456.74747501014201</v>
      </c>
      <c r="D96">
        <v>465.71976335455003</v>
      </c>
      <c r="E96">
        <v>456.71783204804098</v>
      </c>
      <c r="F96">
        <v>464.83044433593699</v>
      </c>
      <c r="G96">
        <v>2762600</v>
      </c>
      <c r="H96">
        <v>0</v>
      </c>
      <c r="I96">
        <v>0</v>
      </c>
    </row>
    <row r="97" spans="1:9" x14ac:dyDescent="0.5">
      <c r="A97" s="1">
        <v>45434</v>
      </c>
      <c r="B97">
        <v>-1.7070210255493101E-2</v>
      </c>
      <c r="C97">
        <v>461.81660357206198</v>
      </c>
      <c r="D97">
        <v>464.751377449458</v>
      </c>
      <c r="E97">
        <v>454.29688066371699</v>
      </c>
      <c r="F97">
        <v>456.89569091796801</v>
      </c>
      <c r="G97">
        <v>2729500</v>
      </c>
      <c r="H97">
        <v>0</v>
      </c>
      <c r="I97">
        <v>0</v>
      </c>
    </row>
    <row r="98" spans="1:9" x14ac:dyDescent="0.5">
      <c r="A98" s="1">
        <v>45435</v>
      </c>
      <c r="B98">
        <v>-9.1483464847145202E-3</v>
      </c>
      <c r="C98">
        <v>458.72375249232698</v>
      </c>
      <c r="D98">
        <v>458.80279033932101</v>
      </c>
      <c r="E98">
        <v>451.98463766184898</v>
      </c>
      <c r="F98">
        <v>452.71585083007801</v>
      </c>
      <c r="G98">
        <v>2254500</v>
      </c>
      <c r="H98">
        <v>0</v>
      </c>
      <c r="I98">
        <v>0</v>
      </c>
    </row>
    <row r="99" spans="1:9" x14ac:dyDescent="0.5">
      <c r="A99" s="1">
        <v>45436</v>
      </c>
      <c r="B99">
        <v>6.6135956679094204E-3</v>
      </c>
      <c r="C99">
        <v>454.38582779708202</v>
      </c>
      <c r="D99">
        <v>459.73166333111499</v>
      </c>
      <c r="E99">
        <v>453.65461459708598</v>
      </c>
      <c r="F99">
        <v>455.70993041992102</v>
      </c>
      <c r="G99">
        <v>1932200</v>
      </c>
      <c r="H99">
        <v>0</v>
      </c>
      <c r="I99">
        <v>0</v>
      </c>
    </row>
    <row r="100" spans="1:9" x14ac:dyDescent="0.5">
      <c r="A100" s="1">
        <v>45440</v>
      </c>
      <c r="B100">
        <v>-2.9706611053604802E-3</v>
      </c>
      <c r="C100">
        <v>454.484633543391</v>
      </c>
      <c r="D100">
        <v>458.190154626013</v>
      </c>
      <c r="E100">
        <v>453.46685162558902</v>
      </c>
      <c r="F100">
        <v>454.35617065429602</v>
      </c>
      <c r="G100">
        <v>1930800</v>
      </c>
      <c r="H100">
        <v>0</v>
      </c>
      <c r="I100">
        <v>0</v>
      </c>
    </row>
    <row r="101" spans="1:9" x14ac:dyDescent="0.5">
      <c r="A101" s="1">
        <v>45441</v>
      </c>
      <c r="B101">
        <v>-5.7414717003766401E-3</v>
      </c>
      <c r="C101">
        <v>449.44511691531</v>
      </c>
      <c r="D101">
        <v>453.29885279361298</v>
      </c>
      <c r="E101">
        <v>446.29295124874199</v>
      </c>
      <c r="F101">
        <v>451.74749755859301</v>
      </c>
      <c r="G101">
        <v>2315700</v>
      </c>
      <c r="H101">
        <v>0</v>
      </c>
      <c r="I101">
        <v>0</v>
      </c>
    </row>
    <row r="102" spans="1:9" x14ac:dyDescent="0.5">
      <c r="A102" s="1">
        <v>45442</v>
      </c>
      <c r="B102">
        <v>-9.2205818037079893E-3</v>
      </c>
      <c r="C102">
        <v>450.33582098505502</v>
      </c>
      <c r="D102">
        <v>453.178986219715</v>
      </c>
      <c r="E102">
        <v>444.96758547801898</v>
      </c>
      <c r="F102">
        <v>447.58212280273398</v>
      </c>
      <c r="G102">
        <v>2135000</v>
      </c>
      <c r="H102">
        <v>2.75</v>
      </c>
      <c r="I102">
        <v>0</v>
      </c>
    </row>
    <row r="103" spans="1:9" x14ac:dyDescent="0.5">
      <c r="A103" s="1">
        <v>45443</v>
      </c>
      <c r="B103">
        <v>1.39705998164099E-2</v>
      </c>
      <c r="C103">
        <v>447.11489092112902</v>
      </c>
      <c r="D103">
        <v>454.08364323079599</v>
      </c>
      <c r="E103">
        <v>445.48452149138097</v>
      </c>
      <c r="F103">
        <v>453.83511352539</v>
      </c>
      <c r="G103">
        <v>2638300</v>
      </c>
      <c r="H103">
        <v>0</v>
      </c>
      <c r="I103">
        <v>0</v>
      </c>
    </row>
    <row r="104" spans="1:9" x14ac:dyDescent="0.5">
      <c r="A104" s="1">
        <v>45446</v>
      </c>
      <c r="B104">
        <v>-3.3732830735561099E-3</v>
      </c>
      <c r="C104">
        <v>456.17130571748902</v>
      </c>
      <c r="D104">
        <v>456.17130571748902</v>
      </c>
      <c r="E104">
        <v>447.552312393107</v>
      </c>
      <c r="F104">
        <v>452.30419921875</v>
      </c>
      <c r="G104">
        <v>1930700</v>
      </c>
      <c r="H104">
        <v>0</v>
      </c>
      <c r="I104">
        <v>0</v>
      </c>
    </row>
    <row r="105" spans="1:9" x14ac:dyDescent="0.5">
      <c r="A105" s="1">
        <v>45447</v>
      </c>
      <c r="B105">
        <v>7.0325395463122198E-4</v>
      </c>
      <c r="C105">
        <v>447.85052576298898</v>
      </c>
      <c r="D105">
        <v>455.01811391815801</v>
      </c>
      <c r="E105">
        <v>446.56810399810098</v>
      </c>
      <c r="F105">
        <v>452.62228393554602</v>
      </c>
      <c r="G105">
        <v>1835000</v>
      </c>
      <c r="H105">
        <v>0</v>
      </c>
      <c r="I105">
        <v>0</v>
      </c>
    </row>
    <row r="106" spans="1:9" x14ac:dyDescent="0.5">
      <c r="A106" s="1">
        <v>45448</v>
      </c>
      <c r="B106">
        <v>1.4012717638581499E-2</v>
      </c>
      <c r="C106">
        <v>454.85903677167897</v>
      </c>
      <c r="D106">
        <v>460.29686772516698</v>
      </c>
      <c r="E106">
        <v>454.809342967796</v>
      </c>
      <c r="F106">
        <v>458.964752197265</v>
      </c>
      <c r="G106">
        <v>1678900</v>
      </c>
      <c r="H106">
        <v>0</v>
      </c>
      <c r="I106">
        <v>0</v>
      </c>
    </row>
    <row r="107" spans="1:9" x14ac:dyDescent="0.5">
      <c r="A107" s="1">
        <v>45449</v>
      </c>
      <c r="B107">
        <v>-7.7542543873384499E-3</v>
      </c>
      <c r="C107">
        <v>459.103945858006</v>
      </c>
      <c r="D107">
        <v>461.78804838217798</v>
      </c>
      <c r="E107">
        <v>454.32223691578702</v>
      </c>
      <c r="F107">
        <v>455.40582275390602</v>
      </c>
      <c r="G107">
        <v>1598000</v>
      </c>
      <c r="H107">
        <v>0</v>
      </c>
      <c r="I107">
        <v>0</v>
      </c>
    </row>
    <row r="108" spans="1:9" x14ac:dyDescent="0.5">
      <c r="A108" s="1">
        <v>45450</v>
      </c>
      <c r="B108">
        <v>-6.9635344398595303E-3</v>
      </c>
      <c r="C108">
        <v>452.76147037547298</v>
      </c>
      <c r="D108">
        <v>458.44783114605201</v>
      </c>
      <c r="E108">
        <v>451.826996272965</v>
      </c>
      <c r="F108">
        <v>452.23458862304602</v>
      </c>
      <c r="G108">
        <v>1736100</v>
      </c>
      <c r="H108">
        <v>0</v>
      </c>
      <c r="I108">
        <v>0</v>
      </c>
    </row>
    <row r="109" spans="1:9" x14ac:dyDescent="0.5">
      <c r="A109" s="1">
        <v>45453</v>
      </c>
      <c r="B109">
        <v>-2.98964364443787E-3</v>
      </c>
      <c r="C109">
        <v>449.669742213201</v>
      </c>
      <c r="D109">
        <v>452.68192095535699</v>
      </c>
      <c r="E109">
        <v>447.651682268299</v>
      </c>
      <c r="F109">
        <v>450.882568359375</v>
      </c>
      <c r="G109">
        <v>1698600</v>
      </c>
      <c r="H109">
        <v>0</v>
      </c>
      <c r="I109">
        <v>0</v>
      </c>
    </row>
    <row r="110" spans="1:9" x14ac:dyDescent="0.5">
      <c r="A110" s="1">
        <v>45454</v>
      </c>
      <c r="B110">
        <v>-2.0460766238091E-2</v>
      </c>
      <c r="C110">
        <v>448.38736948141798</v>
      </c>
      <c r="D110">
        <v>449.20252387215902</v>
      </c>
      <c r="E110">
        <v>440.77241553675202</v>
      </c>
      <c r="F110">
        <v>441.65716552734301</v>
      </c>
      <c r="G110">
        <v>1938200</v>
      </c>
      <c r="H110">
        <v>0</v>
      </c>
      <c r="I110">
        <v>0</v>
      </c>
    </row>
    <row r="111" spans="1:9" x14ac:dyDescent="0.5">
      <c r="A111" s="1">
        <v>45455</v>
      </c>
      <c r="B111">
        <v>9.9714473700029897E-3</v>
      </c>
      <c r="C111">
        <v>452.920540499975</v>
      </c>
      <c r="D111">
        <v>454.94855138762398</v>
      </c>
      <c r="E111">
        <v>443.56587876237001</v>
      </c>
      <c r="F111">
        <v>446.06112670898398</v>
      </c>
      <c r="G111">
        <v>1733000</v>
      </c>
      <c r="H111">
        <v>0</v>
      </c>
      <c r="I111">
        <v>0</v>
      </c>
    </row>
    <row r="112" spans="1:9" x14ac:dyDescent="0.5">
      <c r="A112" s="1">
        <v>45456</v>
      </c>
      <c r="B112">
        <v>-5.2373576192600302E-3</v>
      </c>
      <c r="C112">
        <v>444.10271507719898</v>
      </c>
      <c r="D112">
        <v>445.683360373585</v>
      </c>
      <c r="E112">
        <v>439.54963385436201</v>
      </c>
      <c r="F112">
        <v>443.72494506835898</v>
      </c>
      <c r="G112">
        <v>1849100</v>
      </c>
      <c r="H112">
        <v>0</v>
      </c>
      <c r="I112">
        <v>0</v>
      </c>
    </row>
    <row r="113" spans="1:9" x14ac:dyDescent="0.5">
      <c r="A113" s="1">
        <v>45457</v>
      </c>
      <c r="B113">
        <v>2.4642401478014398E-4</v>
      </c>
      <c r="C113">
        <v>439.390577115057</v>
      </c>
      <c r="D113">
        <v>445.59389931689401</v>
      </c>
      <c r="E113">
        <v>436.56728324532799</v>
      </c>
      <c r="F113">
        <v>443.83428955078102</v>
      </c>
      <c r="G113">
        <v>1559100</v>
      </c>
      <c r="H113">
        <v>0</v>
      </c>
      <c r="I113">
        <v>0</v>
      </c>
    </row>
    <row r="114" spans="1:9" x14ac:dyDescent="0.5">
      <c r="A114" s="1">
        <v>45460</v>
      </c>
      <c r="B114">
        <v>8.33220912455967E-3</v>
      </c>
      <c r="C114">
        <v>442.48229933708899</v>
      </c>
      <c r="D114">
        <v>448.12888703633303</v>
      </c>
      <c r="E114">
        <v>440.78236462463298</v>
      </c>
      <c r="F114">
        <v>447.53240966796801</v>
      </c>
      <c r="G114">
        <v>1531600</v>
      </c>
      <c r="H114">
        <v>0</v>
      </c>
      <c r="I114">
        <v>0</v>
      </c>
    </row>
    <row r="115" spans="1:9" x14ac:dyDescent="0.5">
      <c r="A115" s="1">
        <v>45461</v>
      </c>
      <c r="B115">
        <v>1.6104613364490199E-2</v>
      </c>
      <c r="C115">
        <v>446.925987047994</v>
      </c>
      <c r="D115">
        <v>454.99822668464998</v>
      </c>
      <c r="E115">
        <v>445.872223568614</v>
      </c>
      <c r="F115">
        <v>454.73974609375</v>
      </c>
      <c r="G115">
        <v>1798400</v>
      </c>
      <c r="H115">
        <v>0</v>
      </c>
      <c r="I115">
        <v>0</v>
      </c>
    </row>
    <row r="116" spans="1:9" x14ac:dyDescent="0.5">
      <c r="A116" s="1">
        <v>45463</v>
      </c>
      <c r="B116">
        <v>1.3554203930605799E-3</v>
      </c>
      <c r="C116">
        <v>455.30641581378899</v>
      </c>
      <c r="D116">
        <v>457.702245790848</v>
      </c>
      <c r="E116">
        <v>452.562638184972</v>
      </c>
      <c r="F116">
        <v>455.35610961914</v>
      </c>
      <c r="G116">
        <v>2080600</v>
      </c>
      <c r="H116">
        <v>0</v>
      </c>
      <c r="I116">
        <v>0</v>
      </c>
    </row>
    <row r="117" spans="1:9" x14ac:dyDescent="0.5">
      <c r="A117" s="1">
        <v>45464</v>
      </c>
      <c r="B117">
        <v>-1.7181497702349099E-2</v>
      </c>
      <c r="C117">
        <v>455.98241976185801</v>
      </c>
      <c r="D117">
        <v>456.10170916791202</v>
      </c>
      <c r="E117">
        <v>447.25405760781098</v>
      </c>
      <c r="F117">
        <v>447.53240966796801</v>
      </c>
      <c r="G117">
        <v>3919200</v>
      </c>
      <c r="H117">
        <v>0</v>
      </c>
      <c r="I117">
        <v>0</v>
      </c>
    </row>
    <row r="118" spans="1:9" x14ac:dyDescent="0.5">
      <c r="A118" s="1">
        <v>45467</v>
      </c>
      <c r="B118">
        <v>2.6456039935786001E-2</v>
      </c>
      <c r="C118">
        <v>448.59610099945399</v>
      </c>
      <c r="D118">
        <v>460.79392754979</v>
      </c>
      <c r="E118">
        <v>447.35345252023097</v>
      </c>
      <c r="F118">
        <v>459.37234497070301</v>
      </c>
      <c r="G118">
        <v>1882200</v>
      </c>
      <c r="H118">
        <v>0</v>
      </c>
      <c r="I118">
        <v>0</v>
      </c>
    </row>
    <row r="119" spans="1:9" x14ac:dyDescent="0.5">
      <c r="A119" s="1">
        <v>45468</v>
      </c>
      <c r="B119">
        <v>-1.01927805306591E-2</v>
      </c>
      <c r="C119">
        <v>456.75781724034101</v>
      </c>
      <c r="D119">
        <v>461.35064126122001</v>
      </c>
      <c r="E119">
        <v>454.06376377587901</v>
      </c>
      <c r="F119">
        <v>454.69006347656199</v>
      </c>
      <c r="G119">
        <v>1633400</v>
      </c>
      <c r="H119">
        <v>0</v>
      </c>
      <c r="I119">
        <v>0</v>
      </c>
    </row>
    <row r="120" spans="1:9" x14ac:dyDescent="0.5">
      <c r="A120" s="1">
        <v>45469</v>
      </c>
      <c r="B120" s="28">
        <v>-3.3233140599239199E-3</v>
      </c>
      <c r="C120">
        <v>452.731650334623</v>
      </c>
      <c r="D120">
        <v>455.236818810964</v>
      </c>
      <c r="E120">
        <v>449.78906715538301</v>
      </c>
      <c r="F120">
        <v>453.17898559570301</v>
      </c>
      <c r="G120">
        <v>2131700</v>
      </c>
      <c r="H120">
        <v>0</v>
      </c>
      <c r="I120">
        <v>0</v>
      </c>
    </row>
    <row r="121" spans="1:9" x14ac:dyDescent="0.5">
      <c r="A121" s="1">
        <v>45470</v>
      </c>
      <c r="B121">
        <v>-2.17171728395236E-2</v>
      </c>
      <c r="C121">
        <v>447.13476040125198</v>
      </c>
      <c r="D121">
        <v>447.13476040125198</v>
      </c>
      <c r="E121">
        <v>440.19580013525501</v>
      </c>
      <c r="F121">
        <v>443.33721923828102</v>
      </c>
      <c r="G121">
        <v>2835200</v>
      </c>
      <c r="H121">
        <v>0</v>
      </c>
      <c r="I121">
        <v>0</v>
      </c>
    </row>
    <row r="122" spans="1:9" x14ac:dyDescent="0.5">
      <c r="A122" s="1">
        <v>45471</v>
      </c>
      <c r="B122">
        <v>1.4261381729290701E-2</v>
      </c>
      <c r="C122">
        <v>447.452875618603</v>
      </c>
      <c r="D122">
        <v>454.65028598494899</v>
      </c>
      <c r="E122">
        <v>446.88622062440902</v>
      </c>
      <c r="F122">
        <v>449.65982055664</v>
      </c>
      <c r="G122">
        <v>3839700</v>
      </c>
      <c r="H122">
        <v>0</v>
      </c>
      <c r="I122">
        <v>0</v>
      </c>
    </row>
    <row r="123" spans="1:9" x14ac:dyDescent="0.5">
      <c r="A123" s="1">
        <v>45474</v>
      </c>
      <c r="B123">
        <v>2.5070764418604501E-2</v>
      </c>
      <c r="C123">
        <v>451.83695484572701</v>
      </c>
      <c r="D123">
        <v>461.29100419944598</v>
      </c>
      <c r="E123">
        <v>451.33989543544101</v>
      </c>
      <c r="F123">
        <v>460.93313598632801</v>
      </c>
      <c r="G123">
        <v>1850500</v>
      </c>
      <c r="H123">
        <v>0</v>
      </c>
      <c r="I123">
        <v>0</v>
      </c>
    </row>
    <row r="124" spans="1:9" x14ac:dyDescent="0.5">
      <c r="A124" s="1">
        <v>45475</v>
      </c>
      <c r="B124">
        <v>4.2056144996605004E-3</v>
      </c>
      <c r="C124">
        <v>458.79578022905201</v>
      </c>
      <c r="D124">
        <v>463.52776511945802</v>
      </c>
      <c r="E124">
        <v>456.89700966751502</v>
      </c>
      <c r="F124">
        <v>462.87164306640602</v>
      </c>
      <c r="G124">
        <v>1491800</v>
      </c>
      <c r="H124">
        <v>0</v>
      </c>
      <c r="I124">
        <v>0</v>
      </c>
    </row>
    <row r="125" spans="1:9" x14ac:dyDescent="0.5">
      <c r="A125" s="1">
        <v>45476</v>
      </c>
      <c r="B125">
        <v>4.9613057708457397E-3</v>
      </c>
      <c r="C125">
        <v>466.28149904274198</v>
      </c>
      <c r="D125">
        <v>467.12650610594</v>
      </c>
      <c r="E125">
        <v>463.08043523420599</v>
      </c>
      <c r="F125">
        <v>465.16809082031199</v>
      </c>
      <c r="G125">
        <v>993900</v>
      </c>
      <c r="H125">
        <v>0</v>
      </c>
      <c r="I125">
        <v>0</v>
      </c>
    </row>
    <row r="126" spans="1:9" x14ac:dyDescent="0.5">
      <c r="A126" s="1">
        <v>45478</v>
      </c>
      <c r="B126">
        <v>-6.7746847853270504E-3</v>
      </c>
      <c r="C126">
        <v>464.72072804866298</v>
      </c>
      <c r="D126">
        <v>464.83006655705702</v>
      </c>
      <c r="E126">
        <v>457.42389951824998</v>
      </c>
      <c r="F126">
        <v>462.01672363281199</v>
      </c>
      <c r="G126">
        <v>1593800</v>
      </c>
      <c r="H126">
        <v>0</v>
      </c>
      <c r="I126">
        <v>0</v>
      </c>
    </row>
    <row r="127" spans="1:9" x14ac:dyDescent="0.5">
      <c r="A127" s="1">
        <v>45481</v>
      </c>
      <c r="B127">
        <v>1.50600778209719E-4</v>
      </c>
      <c r="C127">
        <v>464.899646540687</v>
      </c>
      <c r="D127">
        <v>472.067234529085</v>
      </c>
      <c r="E127">
        <v>461.310892267486</v>
      </c>
      <c r="F127">
        <v>462.08630371093699</v>
      </c>
      <c r="G127">
        <v>2214300</v>
      </c>
      <c r="H127">
        <v>0</v>
      </c>
      <c r="I127">
        <v>0</v>
      </c>
    </row>
    <row r="128" spans="1:9" x14ac:dyDescent="0.5">
      <c r="A128" s="1">
        <v>45482</v>
      </c>
      <c r="B128">
        <v>1.7232474888460001E-2</v>
      </c>
      <c r="C128">
        <v>462.86173459160699</v>
      </c>
      <c r="D128">
        <v>476.48114439729198</v>
      </c>
      <c r="E128">
        <v>458.86535746760597</v>
      </c>
      <c r="F128">
        <v>470.04919433593699</v>
      </c>
      <c r="G128">
        <v>4525100</v>
      </c>
      <c r="H128">
        <v>0</v>
      </c>
      <c r="I128">
        <v>0</v>
      </c>
    </row>
    <row r="129" spans="1:9" x14ac:dyDescent="0.5">
      <c r="A129" s="1">
        <v>45483</v>
      </c>
      <c r="B129">
        <v>1.28164958423826E-2</v>
      </c>
      <c r="C129">
        <v>469.73109493372999</v>
      </c>
      <c r="D129">
        <v>477.037844014943</v>
      </c>
      <c r="E129">
        <v>467.086735223022</v>
      </c>
      <c r="F129">
        <v>476.07357788085898</v>
      </c>
      <c r="G129">
        <v>1946000</v>
      </c>
      <c r="H129">
        <v>0</v>
      </c>
      <c r="I129">
        <v>0</v>
      </c>
    </row>
    <row r="130" spans="1:9" x14ac:dyDescent="0.5">
      <c r="A130" s="1">
        <v>45484</v>
      </c>
      <c r="B130">
        <v>7.0993685312004096E-4</v>
      </c>
      <c r="C130">
        <v>477.17702060743602</v>
      </c>
      <c r="D130">
        <v>480.31843963367299</v>
      </c>
      <c r="E130">
        <v>473.46894658808401</v>
      </c>
      <c r="F130">
        <v>476.41156005859301</v>
      </c>
      <c r="G130">
        <v>2251400</v>
      </c>
      <c r="H130">
        <v>0</v>
      </c>
      <c r="I130">
        <v>0</v>
      </c>
    </row>
    <row r="131" spans="1:9" x14ac:dyDescent="0.5">
      <c r="A131" s="1">
        <v>45485</v>
      </c>
      <c r="B131">
        <v>1.3563465990189499E-3</v>
      </c>
      <c r="C131">
        <v>478.10155187276803</v>
      </c>
      <c r="D131">
        <v>480.59679979333202</v>
      </c>
      <c r="E131">
        <v>475.288208990052</v>
      </c>
      <c r="F131">
        <v>477.05773925781199</v>
      </c>
      <c r="G131">
        <v>2727800</v>
      </c>
      <c r="H131">
        <v>0</v>
      </c>
      <c r="I131">
        <v>0</v>
      </c>
    </row>
    <row r="132" spans="1:9" x14ac:dyDescent="0.5">
      <c r="A132" s="1">
        <v>45488</v>
      </c>
      <c r="B132">
        <v>2.57356149104273E-2</v>
      </c>
      <c r="C132">
        <v>477.42555924144199</v>
      </c>
      <c r="D132">
        <v>490.10057408855897</v>
      </c>
      <c r="E132">
        <v>473.50872869693097</v>
      </c>
      <c r="F132">
        <v>489.33511352539</v>
      </c>
      <c r="G132">
        <v>3568200</v>
      </c>
      <c r="H132">
        <v>0</v>
      </c>
      <c r="I132">
        <v>0</v>
      </c>
    </row>
    <row r="133" spans="1:9" x14ac:dyDescent="0.5">
      <c r="A133" s="1">
        <v>45489</v>
      </c>
      <c r="B133">
        <v>2.1920625939027799E-2</v>
      </c>
      <c r="C133">
        <v>491.09470453697003</v>
      </c>
      <c r="D133">
        <v>503.61065703024502</v>
      </c>
      <c r="E133">
        <v>489.09651597023702</v>
      </c>
      <c r="F133">
        <v>500.06164550781199</v>
      </c>
      <c r="G133">
        <v>3981700</v>
      </c>
      <c r="H133">
        <v>0</v>
      </c>
      <c r="I133">
        <v>0</v>
      </c>
    </row>
    <row r="134" spans="1:9" x14ac:dyDescent="0.5">
      <c r="A134" s="1">
        <v>45490</v>
      </c>
      <c r="B134">
        <v>-1.6699601245452301E-3</v>
      </c>
      <c r="C134">
        <v>500.04174718211601</v>
      </c>
      <c r="D134">
        <v>506.48364780908003</v>
      </c>
      <c r="E134">
        <v>496.492735850396</v>
      </c>
      <c r="F134">
        <v>499.2265625</v>
      </c>
      <c r="G134">
        <v>3908900</v>
      </c>
      <c r="H134">
        <v>0</v>
      </c>
      <c r="I134">
        <v>0</v>
      </c>
    </row>
    <row r="135" spans="1:9" x14ac:dyDescent="0.5">
      <c r="A135" s="1">
        <v>45491</v>
      </c>
      <c r="B135">
        <v>-3.18013289111281E-2</v>
      </c>
      <c r="C135">
        <v>496.58221321668998</v>
      </c>
      <c r="D135">
        <v>500.72770197115699</v>
      </c>
      <c r="E135">
        <v>481.37220767632601</v>
      </c>
      <c r="F135">
        <v>483.350494384765</v>
      </c>
      <c r="G135">
        <v>3320200</v>
      </c>
      <c r="H135">
        <v>0</v>
      </c>
      <c r="I135">
        <v>0</v>
      </c>
    </row>
    <row r="136" spans="1:9" x14ac:dyDescent="0.5">
      <c r="A136" s="1">
        <v>45492</v>
      </c>
      <c r="B136">
        <v>-2.6325843301756502E-3</v>
      </c>
      <c r="C136">
        <v>486.24339374174099</v>
      </c>
      <c r="D136">
        <v>489.702938166715</v>
      </c>
      <c r="E136">
        <v>480.34827640382798</v>
      </c>
      <c r="F136">
        <v>482.078033447265</v>
      </c>
      <c r="G136">
        <v>2032700</v>
      </c>
      <c r="H136">
        <v>0</v>
      </c>
      <c r="I136">
        <v>0</v>
      </c>
    </row>
    <row r="137" spans="1:9" x14ac:dyDescent="0.5">
      <c r="A137" s="1">
        <v>45495</v>
      </c>
      <c r="B137">
        <v>4.3511528617974299E-3</v>
      </c>
      <c r="C137">
        <v>481.71020311733298</v>
      </c>
      <c r="D137">
        <v>486.591330064045</v>
      </c>
      <c r="E137">
        <v>479.54303141530301</v>
      </c>
      <c r="F137">
        <v>484.17562866210898</v>
      </c>
      <c r="G137">
        <v>1792500</v>
      </c>
      <c r="H137">
        <v>0</v>
      </c>
      <c r="I137">
        <v>0</v>
      </c>
    </row>
    <row r="138" spans="1:9" x14ac:dyDescent="0.5">
      <c r="A138" s="1">
        <v>45496</v>
      </c>
      <c r="B138">
        <v>1.0491906730510901E-2</v>
      </c>
      <c r="C138">
        <v>484.21536467576499</v>
      </c>
      <c r="D138">
        <v>492.89403259459402</v>
      </c>
      <c r="E138">
        <v>483.420081782632</v>
      </c>
      <c r="F138">
        <v>489.25555419921801</v>
      </c>
      <c r="G138">
        <v>2020500</v>
      </c>
      <c r="H138">
        <v>0</v>
      </c>
      <c r="I138">
        <v>0</v>
      </c>
    </row>
    <row r="139" spans="1:9" x14ac:dyDescent="0.5">
      <c r="A139" s="1">
        <v>45497</v>
      </c>
      <c r="B139">
        <v>-1.1073778658908399E-2</v>
      </c>
      <c r="C139">
        <v>486.38258826101202</v>
      </c>
      <c r="D139">
        <v>493.072988567599</v>
      </c>
      <c r="E139">
        <v>482.96281706026201</v>
      </c>
      <c r="F139">
        <v>483.837646484375</v>
      </c>
      <c r="G139">
        <v>1598600</v>
      </c>
      <c r="H139">
        <v>0</v>
      </c>
      <c r="I139">
        <v>0</v>
      </c>
    </row>
    <row r="140" spans="1:9" x14ac:dyDescent="0.5">
      <c r="A140" s="1">
        <v>45498</v>
      </c>
      <c r="B140">
        <v>1.0293740687123E-2</v>
      </c>
      <c r="C140">
        <v>483.19142971375697</v>
      </c>
      <c r="D140">
        <v>493.19226239626698</v>
      </c>
      <c r="E140">
        <v>480.388037759881</v>
      </c>
      <c r="F140">
        <v>488.81814575195301</v>
      </c>
      <c r="G140">
        <v>1489700</v>
      </c>
      <c r="H140">
        <v>0</v>
      </c>
      <c r="I140">
        <v>0</v>
      </c>
    </row>
    <row r="141" spans="1:9" x14ac:dyDescent="0.5">
      <c r="A141" s="1">
        <v>45499</v>
      </c>
      <c r="B141">
        <v>1.4886880943971901E-2</v>
      </c>
      <c r="C141">
        <v>492.80459235912701</v>
      </c>
      <c r="D141">
        <v>501.03589513714098</v>
      </c>
      <c r="E141">
        <v>492.73499675921403</v>
      </c>
      <c r="F141">
        <v>496.095123291015</v>
      </c>
      <c r="G141">
        <v>2249700</v>
      </c>
      <c r="H141">
        <v>0</v>
      </c>
      <c r="I141">
        <v>0</v>
      </c>
    </row>
    <row r="142" spans="1:9" x14ac:dyDescent="0.5">
      <c r="A142" s="1">
        <v>45502</v>
      </c>
      <c r="B142">
        <v>-1.26445270051848E-2</v>
      </c>
      <c r="C142">
        <v>497.476962295801</v>
      </c>
      <c r="D142">
        <v>499.04765671118798</v>
      </c>
      <c r="E142">
        <v>488.17199419565299</v>
      </c>
      <c r="F142">
        <v>489.82223510742102</v>
      </c>
      <c r="G142">
        <v>1599500</v>
      </c>
      <c r="H142">
        <v>0</v>
      </c>
      <c r="I142">
        <v>0</v>
      </c>
    </row>
    <row r="143" spans="1:9" x14ac:dyDescent="0.5">
      <c r="A143" s="1">
        <v>45503</v>
      </c>
      <c r="B143">
        <v>2.6282678509292001E-2</v>
      </c>
      <c r="C143">
        <v>495.37934517200199</v>
      </c>
      <c r="D143">
        <v>506.47371480804901</v>
      </c>
      <c r="E143">
        <v>495.36939427564198</v>
      </c>
      <c r="F143">
        <v>502.69607543945301</v>
      </c>
      <c r="G143">
        <v>2642500</v>
      </c>
      <c r="H143">
        <v>0</v>
      </c>
      <c r="I143">
        <v>0</v>
      </c>
    </row>
    <row r="144" spans="1:9" x14ac:dyDescent="0.5">
      <c r="A144" s="1">
        <v>45504</v>
      </c>
      <c r="B144">
        <v>6.6445912831476399E-3</v>
      </c>
      <c r="C144">
        <v>501.89079670600898</v>
      </c>
      <c r="D144">
        <v>514.21789394667098</v>
      </c>
      <c r="E144">
        <v>501.89079670600898</v>
      </c>
      <c r="F144">
        <v>506.03628540039</v>
      </c>
      <c r="G144">
        <v>2658900</v>
      </c>
      <c r="H144">
        <v>0</v>
      </c>
      <c r="I144">
        <v>0</v>
      </c>
    </row>
    <row r="145" spans="1:9" x14ac:dyDescent="0.5">
      <c r="A145" s="1">
        <v>45505</v>
      </c>
      <c r="B145">
        <v>-1.7503892973722901E-2</v>
      </c>
      <c r="C145">
        <v>507.000578840576</v>
      </c>
      <c r="D145">
        <v>510.99695576075999</v>
      </c>
      <c r="E145">
        <v>491.77067181857399</v>
      </c>
      <c r="F145">
        <v>497.17868041992102</v>
      </c>
      <c r="G145">
        <v>4006800</v>
      </c>
      <c r="H145">
        <v>0</v>
      </c>
      <c r="I145">
        <v>0</v>
      </c>
    </row>
    <row r="146" spans="1:9" x14ac:dyDescent="0.5">
      <c r="A146" s="1">
        <v>45506</v>
      </c>
      <c r="B146">
        <v>-5.8945768883515097E-2</v>
      </c>
      <c r="C146">
        <v>488.21176360227798</v>
      </c>
      <c r="D146">
        <v>491.55198830962303</v>
      </c>
      <c r="E146">
        <v>464.46225018537302</v>
      </c>
      <c r="F146">
        <v>467.87210083007801</v>
      </c>
      <c r="G146">
        <v>6115500</v>
      </c>
      <c r="H146">
        <v>0</v>
      </c>
      <c r="I146">
        <v>0</v>
      </c>
    </row>
    <row r="147" spans="1:9" x14ac:dyDescent="0.5">
      <c r="A147" s="1">
        <v>45509</v>
      </c>
      <c r="B147">
        <v>-2.4689860234985601E-2</v>
      </c>
      <c r="C147">
        <v>444.957633365253</v>
      </c>
      <c r="D147">
        <v>460.45594193210502</v>
      </c>
      <c r="E147">
        <v>434.79773794006297</v>
      </c>
      <c r="F147">
        <v>456.32040405273398</v>
      </c>
      <c r="G147">
        <v>4177200</v>
      </c>
      <c r="H147">
        <v>0</v>
      </c>
      <c r="I147">
        <v>0</v>
      </c>
    </row>
    <row r="148" spans="1:9" x14ac:dyDescent="0.5">
      <c r="A148" s="1">
        <v>45510</v>
      </c>
      <c r="B148">
        <v>2.4399862847576701E-2</v>
      </c>
      <c r="C148">
        <v>458.29873335991101</v>
      </c>
      <c r="D148">
        <v>472.45497584755202</v>
      </c>
      <c r="E148">
        <v>454.73977094493802</v>
      </c>
      <c r="F148">
        <v>467.45455932617102</v>
      </c>
      <c r="G148">
        <v>2209300</v>
      </c>
      <c r="H148">
        <v>0</v>
      </c>
      <c r="I148">
        <v>0</v>
      </c>
    </row>
    <row r="149" spans="1:9" x14ac:dyDescent="0.5">
      <c r="A149" s="1">
        <v>45511</v>
      </c>
      <c r="B149">
        <v>5.9333897435693804E-3</v>
      </c>
      <c r="C149">
        <v>476.57063229467599</v>
      </c>
      <c r="D149">
        <v>485.676733923624</v>
      </c>
      <c r="E149">
        <v>469.79073470932298</v>
      </c>
      <c r="F149">
        <v>470.22814941406199</v>
      </c>
      <c r="G149">
        <v>2587600</v>
      </c>
      <c r="H149">
        <v>0</v>
      </c>
      <c r="I149">
        <v>0</v>
      </c>
    </row>
    <row r="150" spans="1:9" x14ac:dyDescent="0.5">
      <c r="A150" s="1">
        <v>45512</v>
      </c>
      <c r="B150">
        <v>2.6976131776125602E-2</v>
      </c>
      <c r="C150">
        <v>475.05955336504701</v>
      </c>
      <c r="D150">
        <v>484.86158065872098</v>
      </c>
      <c r="E150">
        <v>474.35373750092401</v>
      </c>
      <c r="F150">
        <v>482.9130859375</v>
      </c>
      <c r="G150">
        <v>1936400</v>
      </c>
      <c r="H150">
        <v>0</v>
      </c>
      <c r="I150">
        <v>0</v>
      </c>
    </row>
    <row r="151" spans="1:9" x14ac:dyDescent="0.5">
      <c r="A151" s="1">
        <v>45513</v>
      </c>
      <c r="B151">
        <v>9.2431188486217196E-3</v>
      </c>
      <c r="C151">
        <v>482.16750566730701</v>
      </c>
      <c r="D151">
        <v>489.10646604634701</v>
      </c>
      <c r="E151">
        <v>479.36411361399701</v>
      </c>
      <c r="F151">
        <v>487.376708984375</v>
      </c>
      <c r="G151">
        <v>1622700</v>
      </c>
      <c r="H151">
        <v>0</v>
      </c>
      <c r="I151">
        <v>0</v>
      </c>
    </row>
    <row r="152" spans="1:9" x14ac:dyDescent="0.5">
      <c r="A152" s="1">
        <v>45516</v>
      </c>
      <c r="B152">
        <v>-9.7091737443614195E-3</v>
      </c>
      <c r="C152">
        <v>487.37669909720103</v>
      </c>
      <c r="D152">
        <v>489.971334637523</v>
      </c>
      <c r="E152">
        <v>480.904975914685</v>
      </c>
      <c r="F152">
        <v>482.64468383789</v>
      </c>
      <c r="G152">
        <v>1839300</v>
      </c>
      <c r="H152">
        <v>0</v>
      </c>
      <c r="I152">
        <v>0</v>
      </c>
    </row>
    <row r="153" spans="1:9" x14ac:dyDescent="0.5">
      <c r="A153" s="1">
        <v>45517</v>
      </c>
      <c r="B153">
        <v>1.32646858886846E-2</v>
      </c>
      <c r="C153">
        <v>487.406523982056</v>
      </c>
      <c r="D153">
        <v>490.36897864459002</v>
      </c>
      <c r="E153">
        <v>483.608982814515</v>
      </c>
      <c r="F153">
        <v>489.04681396484301</v>
      </c>
      <c r="G153">
        <v>1243700</v>
      </c>
      <c r="H153">
        <v>0</v>
      </c>
      <c r="I153">
        <v>0</v>
      </c>
    </row>
    <row r="154" spans="1:9" x14ac:dyDescent="0.5">
      <c r="A154" s="1">
        <v>45518</v>
      </c>
      <c r="B154">
        <v>1.37415175182211E-2</v>
      </c>
      <c r="C154">
        <v>490.00115206434401</v>
      </c>
      <c r="D154">
        <v>496.41323048067699</v>
      </c>
      <c r="E154">
        <v>485.527617449628</v>
      </c>
      <c r="F154">
        <v>495.76705932617102</v>
      </c>
      <c r="G154">
        <v>1545600</v>
      </c>
      <c r="H154">
        <v>0</v>
      </c>
      <c r="I154">
        <v>0</v>
      </c>
    </row>
    <row r="155" spans="1:9" x14ac:dyDescent="0.5">
      <c r="A155" s="1">
        <v>45519</v>
      </c>
      <c r="B155">
        <v>6.4160115282607601E-4</v>
      </c>
      <c r="C155">
        <v>502.02998528549</v>
      </c>
      <c r="D155">
        <v>503.928755801102</v>
      </c>
      <c r="E155">
        <v>495.32963439798999</v>
      </c>
      <c r="F155">
        <v>496.08514404296801</v>
      </c>
      <c r="G155">
        <v>1732300</v>
      </c>
      <c r="H155">
        <v>0</v>
      </c>
      <c r="I155">
        <v>0</v>
      </c>
    </row>
    <row r="156" spans="1:9" x14ac:dyDescent="0.5">
      <c r="A156" s="1">
        <v>45520</v>
      </c>
      <c r="B156">
        <v>1.05006742858113E-2</v>
      </c>
      <c r="C156">
        <v>494.12675392748997</v>
      </c>
      <c r="D156">
        <v>501.94054373258001</v>
      </c>
      <c r="E156">
        <v>494.07706012106797</v>
      </c>
      <c r="F156">
        <v>501.29437255859301</v>
      </c>
      <c r="G156">
        <v>1587000</v>
      </c>
      <c r="H156">
        <v>0</v>
      </c>
      <c r="I156">
        <v>0</v>
      </c>
    </row>
    <row r="157" spans="1:9" x14ac:dyDescent="0.5">
      <c r="A157" s="1">
        <v>45523</v>
      </c>
      <c r="B157">
        <v>8.3286589513686905E-4</v>
      </c>
      <c r="C157">
        <v>502.030008851476</v>
      </c>
      <c r="D157">
        <v>504.79365798370901</v>
      </c>
      <c r="E157">
        <v>498.90846116484499</v>
      </c>
      <c r="F157">
        <v>501.71188354492102</v>
      </c>
      <c r="G157">
        <v>1027900</v>
      </c>
      <c r="H157">
        <v>0</v>
      </c>
      <c r="I157">
        <v>0</v>
      </c>
    </row>
    <row r="158" spans="1:9" x14ac:dyDescent="0.5">
      <c r="A158" s="1">
        <v>45524</v>
      </c>
      <c r="B158">
        <v>-1.45438940590063E-2</v>
      </c>
      <c r="C158">
        <v>500.90663359605202</v>
      </c>
      <c r="D158">
        <v>501.19493654196799</v>
      </c>
      <c r="E158">
        <v>493.57998291324799</v>
      </c>
      <c r="F158">
        <v>494.4150390625</v>
      </c>
      <c r="G158">
        <v>2122700</v>
      </c>
      <c r="H158">
        <v>0</v>
      </c>
      <c r="I158">
        <v>0</v>
      </c>
    </row>
    <row r="159" spans="1:9" x14ac:dyDescent="0.5">
      <c r="A159" s="1">
        <v>45525</v>
      </c>
      <c r="B159">
        <v>-1.76939782452822E-3</v>
      </c>
      <c r="C159">
        <v>496.56235188330697</v>
      </c>
      <c r="D159">
        <v>497.834822762697</v>
      </c>
      <c r="E159">
        <v>491.12452071022</v>
      </c>
      <c r="F159">
        <v>493.54022216796801</v>
      </c>
      <c r="G159">
        <v>917100</v>
      </c>
      <c r="H159">
        <v>0</v>
      </c>
      <c r="I159">
        <v>0</v>
      </c>
    </row>
    <row r="160" spans="1:9" x14ac:dyDescent="0.5">
      <c r="A160" s="1">
        <v>45526</v>
      </c>
      <c r="B160">
        <v>2.5983893720669098E-3</v>
      </c>
      <c r="C160">
        <v>494.07704273723903</v>
      </c>
      <c r="D160">
        <v>496.76117562779098</v>
      </c>
      <c r="E160">
        <v>491.880048687743</v>
      </c>
      <c r="F160">
        <v>494.82263183593699</v>
      </c>
      <c r="G160">
        <v>943800</v>
      </c>
      <c r="H160">
        <v>0</v>
      </c>
      <c r="I160">
        <v>0</v>
      </c>
    </row>
    <row r="161" spans="1:9" x14ac:dyDescent="0.5">
      <c r="A161" s="1">
        <v>45527</v>
      </c>
      <c r="B161">
        <v>2.3445531081483999E-2</v>
      </c>
      <c r="C161">
        <v>499.79322550160401</v>
      </c>
      <c r="D161">
        <v>509.42623907755399</v>
      </c>
      <c r="E161">
        <v>496.91028705613701</v>
      </c>
      <c r="F161">
        <v>506.42401123046801</v>
      </c>
      <c r="G161">
        <v>1751800</v>
      </c>
      <c r="H161">
        <v>0</v>
      </c>
      <c r="I161">
        <v>0</v>
      </c>
    </row>
    <row r="162" spans="1:9" x14ac:dyDescent="0.5">
      <c r="A162" s="1">
        <v>45530</v>
      </c>
      <c r="B162">
        <v>-3.0426945020706102E-3</v>
      </c>
      <c r="C162">
        <v>509.32686033006502</v>
      </c>
      <c r="D162">
        <v>510.48001145783701</v>
      </c>
      <c r="E162">
        <v>502.34812683299202</v>
      </c>
      <c r="F162">
        <v>504.88311767578102</v>
      </c>
      <c r="G162">
        <v>1084200</v>
      </c>
      <c r="H162">
        <v>0</v>
      </c>
      <c r="I162">
        <v>0</v>
      </c>
    </row>
    <row r="163" spans="1:9" x14ac:dyDescent="0.5">
      <c r="A163" s="1">
        <v>45531</v>
      </c>
      <c r="B163">
        <v>-1.20109937070878E-3</v>
      </c>
      <c r="C163">
        <v>504.85327842544501</v>
      </c>
      <c r="D163">
        <v>508.471885352887</v>
      </c>
      <c r="E163">
        <v>503.6106299484</v>
      </c>
      <c r="F163">
        <v>504.27670288085898</v>
      </c>
      <c r="G163">
        <v>977900</v>
      </c>
      <c r="H163">
        <v>0</v>
      </c>
      <c r="I163">
        <v>0</v>
      </c>
    </row>
    <row r="164" spans="1:9" x14ac:dyDescent="0.5">
      <c r="A164" s="1">
        <v>45532</v>
      </c>
      <c r="B164">
        <v>-7.7475141064838804E-3</v>
      </c>
      <c r="C164">
        <v>503.62059996748701</v>
      </c>
      <c r="D164">
        <v>505.38017935608099</v>
      </c>
      <c r="E164">
        <v>495.53840911179998</v>
      </c>
      <c r="F164">
        <v>500.36981201171801</v>
      </c>
      <c r="G164">
        <v>1568100</v>
      </c>
      <c r="H164">
        <v>0</v>
      </c>
      <c r="I164">
        <v>0</v>
      </c>
    </row>
    <row r="165" spans="1:9" x14ac:dyDescent="0.5">
      <c r="A165" s="1">
        <v>45533</v>
      </c>
      <c r="B165">
        <v>1.34504399151067E-2</v>
      </c>
      <c r="C165">
        <v>503.02411295464299</v>
      </c>
      <c r="D165">
        <v>510.22152336066398</v>
      </c>
      <c r="E165">
        <v>498.19271014744402</v>
      </c>
      <c r="F165">
        <v>507.100006103515</v>
      </c>
      <c r="G165">
        <v>1566300</v>
      </c>
      <c r="H165">
        <v>0</v>
      </c>
      <c r="I165">
        <v>0</v>
      </c>
    </row>
    <row r="166" spans="1:9" x14ac:dyDescent="0.5">
      <c r="A166" s="1">
        <v>45534</v>
      </c>
      <c r="B166">
        <v>6.2117804349648403E-3</v>
      </c>
      <c r="C166">
        <v>507.829986572265</v>
      </c>
      <c r="D166">
        <v>511.19000244140602</v>
      </c>
      <c r="E166">
        <v>505.17001342773398</v>
      </c>
      <c r="F166">
        <v>510.25</v>
      </c>
      <c r="G166">
        <v>1838900</v>
      </c>
      <c r="H166">
        <v>3</v>
      </c>
      <c r="I166">
        <v>0</v>
      </c>
    </row>
    <row r="167" spans="1:9" x14ac:dyDescent="0.5">
      <c r="A167" s="1">
        <v>45538</v>
      </c>
      <c r="B167">
        <v>-4.4664396952321099E-2</v>
      </c>
      <c r="C167">
        <v>507.47000122070301</v>
      </c>
      <c r="D167">
        <v>509.70001220703102</v>
      </c>
      <c r="E167">
        <v>485.39999389648398</v>
      </c>
      <c r="F167">
        <v>487.45999145507801</v>
      </c>
      <c r="G167">
        <v>2373600</v>
      </c>
      <c r="H167">
        <v>0</v>
      </c>
      <c r="I167">
        <v>0</v>
      </c>
    </row>
    <row r="168" spans="1:9" x14ac:dyDescent="0.5">
      <c r="A168" s="1">
        <v>45539</v>
      </c>
      <c r="B168">
        <v>6.5236598882032404E-3</v>
      </c>
      <c r="C168">
        <v>486.70001220703102</v>
      </c>
      <c r="D168">
        <v>496.20001220703102</v>
      </c>
      <c r="E168">
        <v>486.70001220703102</v>
      </c>
      <c r="F168">
        <v>490.64001464843699</v>
      </c>
      <c r="G168">
        <v>1509400</v>
      </c>
      <c r="H168">
        <v>0</v>
      </c>
      <c r="I168">
        <v>0</v>
      </c>
    </row>
    <row r="169" spans="1:9" x14ac:dyDescent="0.5">
      <c r="A169" s="1">
        <v>45540</v>
      </c>
      <c r="B169">
        <v>-5.6253254590387103E-3</v>
      </c>
      <c r="C169">
        <v>493.579986572265</v>
      </c>
      <c r="D169">
        <v>495.76998901367102</v>
      </c>
      <c r="E169">
        <v>483.07000732421801</v>
      </c>
      <c r="F169">
        <v>487.88000488281199</v>
      </c>
      <c r="G169">
        <v>1828300</v>
      </c>
      <c r="H169">
        <v>0</v>
      </c>
      <c r="I169">
        <v>0</v>
      </c>
    </row>
    <row r="170" spans="1:9" x14ac:dyDescent="0.5">
      <c r="A170" s="1">
        <v>45541</v>
      </c>
      <c r="B170">
        <v>-1.6950929426255899E-2</v>
      </c>
      <c r="C170">
        <v>486.600006103515</v>
      </c>
      <c r="D170">
        <v>495.41000366210898</v>
      </c>
      <c r="E170">
        <v>477.05999755859301</v>
      </c>
      <c r="F170">
        <v>479.60998535156199</v>
      </c>
      <c r="G170">
        <v>1995600</v>
      </c>
      <c r="H170">
        <v>0</v>
      </c>
      <c r="I170">
        <v>0</v>
      </c>
    </row>
    <row r="171" spans="1:9" x14ac:dyDescent="0.5">
      <c r="A171" s="1">
        <v>45544</v>
      </c>
      <c r="B171">
        <v>1.8681892050451E-2</v>
      </c>
      <c r="C171">
        <v>485.52999877929602</v>
      </c>
      <c r="D171">
        <v>494.27999877929602</v>
      </c>
      <c r="E171">
        <v>483.39001464843699</v>
      </c>
      <c r="F171">
        <v>488.57000732421801</v>
      </c>
      <c r="G171">
        <v>1714200</v>
      </c>
      <c r="H171">
        <v>0</v>
      </c>
      <c r="I171">
        <v>0</v>
      </c>
    </row>
    <row r="172" spans="1:9" x14ac:dyDescent="0.5">
      <c r="A172" s="1">
        <v>45545</v>
      </c>
      <c r="B172">
        <v>-4.38831735882192E-2</v>
      </c>
      <c r="C172">
        <v>489.13000488281199</v>
      </c>
      <c r="D172">
        <v>489.20001220703102</v>
      </c>
      <c r="E172">
        <v>461.57000732421801</v>
      </c>
      <c r="F172">
        <v>467.13000488281199</v>
      </c>
      <c r="G172">
        <v>3583100</v>
      </c>
      <c r="H172">
        <v>0</v>
      </c>
      <c r="I172">
        <v>0</v>
      </c>
    </row>
    <row r="173" spans="1:9" x14ac:dyDescent="0.5">
      <c r="A173" s="1">
        <v>45546</v>
      </c>
      <c r="B173">
        <v>8.6485742784503297E-3</v>
      </c>
      <c r="C173">
        <v>463.98001098632801</v>
      </c>
      <c r="D173">
        <v>471.89001464843699</v>
      </c>
      <c r="E173">
        <v>457.48001098632801</v>
      </c>
      <c r="F173">
        <v>471.17001342773398</v>
      </c>
      <c r="G173">
        <v>2426500</v>
      </c>
      <c r="H173">
        <v>0</v>
      </c>
      <c r="I173">
        <v>0</v>
      </c>
    </row>
    <row r="174" spans="1:9" x14ac:dyDescent="0.5">
      <c r="A174" s="1">
        <v>45547</v>
      </c>
      <c r="B174">
        <v>6.1336333987702602E-3</v>
      </c>
      <c r="C174">
        <v>471.29998779296801</v>
      </c>
      <c r="D174">
        <v>474.33999633789</v>
      </c>
      <c r="E174">
        <v>465.39999389648398</v>
      </c>
      <c r="F174">
        <v>474.05999755859301</v>
      </c>
      <c r="G174">
        <v>1482200</v>
      </c>
      <c r="H174">
        <v>0</v>
      </c>
      <c r="I174">
        <v>0</v>
      </c>
    </row>
    <row r="175" spans="1:9" x14ac:dyDescent="0.5">
      <c r="A175" s="1">
        <v>45548</v>
      </c>
      <c r="B175">
        <v>1.0399512089547E-2</v>
      </c>
      <c r="C175">
        <v>475.989990234375</v>
      </c>
      <c r="D175">
        <v>482.100006103515</v>
      </c>
      <c r="E175">
        <v>475.5</v>
      </c>
      <c r="F175">
        <v>478.989990234375</v>
      </c>
      <c r="G175">
        <v>1794500</v>
      </c>
      <c r="H175">
        <v>0</v>
      </c>
      <c r="I175">
        <v>0</v>
      </c>
    </row>
    <row r="176" spans="1:9" x14ac:dyDescent="0.5">
      <c r="A176" s="1">
        <v>45551</v>
      </c>
      <c r="B176">
        <v>1.28812993038023E-2</v>
      </c>
      <c r="C176">
        <v>481.42999267578102</v>
      </c>
      <c r="D176">
        <v>487.38000488281199</v>
      </c>
      <c r="E176">
        <v>479.489990234375</v>
      </c>
      <c r="F176">
        <v>485.16000366210898</v>
      </c>
      <c r="G176">
        <v>1500300</v>
      </c>
      <c r="H176">
        <v>0</v>
      </c>
      <c r="I176">
        <v>0</v>
      </c>
    </row>
    <row r="177" spans="1:9" x14ac:dyDescent="0.5">
      <c r="A177" s="1">
        <v>45552</v>
      </c>
      <c r="B177">
        <v>4.7409305093570799E-4</v>
      </c>
      <c r="C177">
        <v>488</v>
      </c>
      <c r="D177">
        <v>489.73001098632801</v>
      </c>
      <c r="E177">
        <v>481.79998779296801</v>
      </c>
      <c r="F177">
        <v>485.39001464843699</v>
      </c>
      <c r="G177">
        <v>1444900</v>
      </c>
      <c r="H177">
        <v>0</v>
      </c>
      <c r="I177">
        <v>0</v>
      </c>
    </row>
    <row r="178" spans="1:9" x14ac:dyDescent="0.5">
      <c r="A178" s="1">
        <v>45553</v>
      </c>
      <c r="B178">
        <v>-1.6688189944710199E-3</v>
      </c>
      <c r="C178">
        <v>485.39999389648398</v>
      </c>
      <c r="D178">
        <v>492.989990234375</v>
      </c>
      <c r="E178">
        <v>481.76998901367102</v>
      </c>
      <c r="F178">
        <v>484.579986572265</v>
      </c>
      <c r="G178">
        <v>1699500</v>
      </c>
      <c r="H178">
        <v>0</v>
      </c>
      <c r="I178">
        <v>0</v>
      </c>
    </row>
    <row r="179" spans="1:9" x14ac:dyDescent="0.5">
      <c r="A179" s="1">
        <v>45554</v>
      </c>
      <c r="B179">
        <v>3.9725123887528198E-2</v>
      </c>
      <c r="C179">
        <v>494.739990234375</v>
      </c>
      <c r="D179">
        <v>506.41000366210898</v>
      </c>
      <c r="E179">
        <v>493.45999145507801</v>
      </c>
      <c r="F179">
        <v>503.829986572265</v>
      </c>
      <c r="G179">
        <v>3060700</v>
      </c>
      <c r="H179">
        <v>0</v>
      </c>
      <c r="I179">
        <v>0</v>
      </c>
    </row>
    <row r="180" spans="1:9" x14ac:dyDescent="0.5">
      <c r="A180" s="1">
        <v>45555</v>
      </c>
      <c r="B180">
        <v>-1.0717889050674501E-2</v>
      </c>
      <c r="C180">
        <v>500.19000244140602</v>
      </c>
      <c r="D180">
        <v>502.04998779296801</v>
      </c>
      <c r="E180">
        <v>495.48001098632801</v>
      </c>
      <c r="F180">
        <v>498.42999267578102</v>
      </c>
      <c r="G180">
        <v>4452600</v>
      </c>
      <c r="H180">
        <v>0</v>
      </c>
      <c r="I180">
        <v>0</v>
      </c>
    </row>
    <row r="181" spans="1:9" x14ac:dyDescent="0.5">
      <c r="A181" s="1">
        <v>45558</v>
      </c>
      <c r="B181">
        <v>-2.0464037651428601E-3</v>
      </c>
      <c r="C181">
        <v>498.20999145507801</v>
      </c>
      <c r="D181">
        <v>501.39999389648398</v>
      </c>
      <c r="E181">
        <v>495.22000122070301</v>
      </c>
      <c r="F181">
        <v>497.41000366210898</v>
      </c>
      <c r="G181">
        <v>953200</v>
      </c>
      <c r="H181">
        <v>0</v>
      </c>
      <c r="I181">
        <v>0</v>
      </c>
    </row>
    <row r="182" spans="1:9" x14ac:dyDescent="0.5">
      <c r="A182" s="1">
        <v>45559</v>
      </c>
      <c r="B182">
        <v>1.2263230475293399E-3</v>
      </c>
      <c r="C182">
        <v>497.58999633789</v>
      </c>
      <c r="D182">
        <v>499.55999755859301</v>
      </c>
      <c r="E182">
        <v>494.100006103515</v>
      </c>
      <c r="F182">
        <v>498.01998901367102</v>
      </c>
      <c r="G182">
        <v>1035400</v>
      </c>
      <c r="H182">
        <v>0</v>
      </c>
      <c r="I182">
        <v>0</v>
      </c>
    </row>
    <row r="183" spans="1:9" x14ac:dyDescent="0.5">
      <c r="A183" s="1">
        <v>45560</v>
      </c>
      <c r="B183">
        <v>-1.3814655068082901E-2</v>
      </c>
      <c r="C183">
        <v>498.5</v>
      </c>
      <c r="D183">
        <v>502</v>
      </c>
      <c r="E183">
        <v>490.39999389648398</v>
      </c>
      <c r="F183">
        <v>491.14001464843699</v>
      </c>
      <c r="G183">
        <v>1763900</v>
      </c>
      <c r="H183">
        <v>0</v>
      </c>
      <c r="I183">
        <v>0</v>
      </c>
    </row>
    <row r="184" spans="1:9" x14ac:dyDescent="0.5">
      <c r="A184" s="1">
        <v>45561</v>
      </c>
      <c r="B184">
        <v>1.1768535665810501E-2</v>
      </c>
      <c r="C184">
        <v>494</v>
      </c>
      <c r="D184">
        <v>498.39999389648398</v>
      </c>
      <c r="E184">
        <v>492.48001098632801</v>
      </c>
      <c r="F184">
        <v>496.92001342773398</v>
      </c>
      <c r="G184">
        <v>1378100</v>
      </c>
      <c r="H184">
        <v>0</v>
      </c>
      <c r="I184">
        <v>0</v>
      </c>
    </row>
    <row r="185" spans="1:9" x14ac:dyDescent="0.5">
      <c r="A185" s="1">
        <v>45562</v>
      </c>
      <c r="B185">
        <v>3.1997027588461699E-3</v>
      </c>
      <c r="C185">
        <v>498.97000122070301</v>
      </c>
      <c r="D185">
        <v>505.39999389648398</v>
      </c>
      <c r="E185">
        <v>495.85998535156199</v>
      </c>
      <c r="F185">
        <v>498.510009765625</v>
      </c>
      <c r="G185">
        <v>1420100</v>
      </c>
      <c r="H185">
        <v>0</v>
      </c>
      <c r="I185">
        <v>0</v>
      </c>
    </row>
    <row r="186" spans="1:9" x14ac:dyDescent="0.5">
      <c r="A186" s="1">
        <v>45565</v>
      </c>
      <c r="B186">
        <v>-6.8203734076693803E-3</v>
      </c>
      <c r="C186">
        <v>494.89001464843699</v>
      </c>
      <c r="D186">
        <v>496.51998901367102</v>
      </c>
      <c r="E186">
        <v>488.89999389648398</v>
      </c>
      <c r="F186">
        <v>495.10998535156199</v>
      </c>
      <c r="G186">
        <v>1602500</v>
      </c>
      <c r="H186">
        <v>0</v>
      </c>
      <c r="I186">
        <v>0</v>
      </c>
    </row>
    <row r="187" spans="1:9" x14ac:dyDescent="0.5">
      <c r="A187" s="1">
        <v>45566</v>
      </c>
      <c r="B187">
        <v>-9.9775243278933303E-3</v>
      </c>
      <c r="C187">
        <v>494.579986572265</v>
      </c>
      <c r="D187">
        <v>494.579986572265</v>
      </c>
      <c r="E187">
        <v>484.60998535156199</v>
      </c>
      <c r="F187">
        <v>490.17001342773398</v>
      </c>
      <c r="G187">
        <v>1528600</v>
      </c>
      <c r="H187">
        <v>0</v>
      </c>
      <c r="I187">
        <v>0</v>
      </c>
    </row>
    <row r="188" spans="1:9" x14ac:dyDescent="0.5">
      <c r="A188" s="1">
        <v>45567</v>
      </c>
      <c r="B188">
        <v>3.7129501127854902E-3</v>
      </c>
      <c r="C188">
        <v>491.17001342773398</v>
      </c>
      <c r="D188">
        <v>494.85998535156199</v>
      </c>
      <c r="E188">
        <v>487.95001220703102</v>
      </c>
      <c r="F188">
        <v>491.989990234375</v>
      </c>
      <c r="G188">
        <v>1445100</v>
      </c>
      <c r="H188">
        <v>0</v>
      </c>
      <c r="I188">
        <v>0</v>
      </c>
    </row>
    <row r="189" spans="1:9" x14ac:dyDescent="0.5">
      <c r="A189" s="1">
        <v>45568</v>
      </c>
      <c r="B189">
        <v>-1.19717560270962E-2</v>
      </c>
      <c r="C189">
        <v>489.92999267578102</v>
      </c>
      <c r="D189">
        <v>490.510009765625</v>
      </c>
      <c r="E189">
        <v>484.20001220703102</v>
      </c>
      <c r="F189">
        <v>486.100006103515</v>
      </c>
      <c r="G189">
        <v>1290600</v>
      </c>
      <c r="H189">
        <v>0</v>
      </c>
      <c r="I189">
        <v>0</v>
      </c>
    </row>
    <row r="190" spans="1:9" x14ac:dyDescent="0.5">
      <c r="A190" s="1">
        <v>45569</v>
      </c>
      <c r="B190">
        <v>1.86381350438913E-2</v>
      </c>
      <c r="C190">
        <v>495.64001464843699</v>
      </c>
      <c r="D190">
        <v>496.30999755859301</v>
      </c>
      <c r="E190">
        <v>486</v>
      </c>
      <c r="F190">
        <v>495.16000366210898</v>
      </c>
      <c r="G190">
        <v>1721600</v>
      </c>
      <c r="H190">
        <v>0</v>
      </c>
      <c r="I190">
        <v>0</v>
      </c>
    </row>
    <row r="191" spans="1:9" x14ac:dyDescent="0.5">
      <c r="A191" s="1">
        <v>45572</v>
      </c>
      <c r="B191">
        <v>-1.09057383659438E-3</v>
      </c>
      <c r="C191">
        <v>494.63000488281199</v>
      </c>
      <c r="D191">
        <v>499.010009765625</v>
      </c>
      <c r="E191">
        <v>490.79000854492102</v>
      </c>
      <c r="F191">
        <v>494.61999511718699</v>
      </c>
      <c r="G191">
        <v>1173300</v>
      </c>
      <c r="H191">
        <v>0</v>
      </c>
      <c r="I191">
        <v>0</v>
      </c>
    </row>
    <row r="192" spans="1:9" x14ac:dyDescent="0.5">
      <c r="A192" s="1">
        <v>45573</v>
      </c>
      <c r="B192">
        <v>3.9424451625116302E-3</v>
      </c>
      <c r="C192">
        <v>497</v>
      </c>
      <c r="D192">
        <v>498.33999633789</v>
      </c>
      <c r="E192">
        <v>492.77999877929602</v>
      </c>
      <c r="F192">
        <v>496.57000732421801</v>
      </c>
      <c r="G192">
        <v>1296700</v>
      </c>
      <c r="H192">
        <v>0</v>
      </c>
      <c r="I192">
        <v>0</v>
      </c>
    </row>
    <row r="193" spans="1:9" x14ac:dyDescent="0.5">
      <c r="A193" s="1">
        <v>45574</v>
      </c>
      <c r="B193">
        <v>1.7338915408841599E-2</v>
      </c>
      <c r="C193">
        <v>498.20001220703102</v>
      </c>
      <c r="D193">
        <v>506.26998901367102</v>
      </c>
      <c r="E193">
        <v>495.25</v>
      </c>
      <c r="F193">
        <v>505.17999267578102</v>
      </c>
      <c r="G193">
        <v>1695900</v>
      </c>
      <c r="H193">
        <v>0</v>
      </c>
      <c r="I193">
        <v>0</v>
      </c>
    </row>
    <row r="194" spans="1:9" x14ac:dyDescent="0.5">
      <c r="A194" s="1">
        <v>45575</v>
      </c>
      <c r="B194">
        <v>-2.8900421161673902E-3</v>
      </c>
      <c r="C194">
        <v>506.30999755859301</v>
      </c>
      <c r="D194">
        <v>506.79998779296801</v>
      </c>
      <c r="E194">
        <v>499.58999633789</v>
      </c>
      <c r="F194">
        <v>503.72000122070301</v>
      </c>
      <c r="G194">
        <v>1309000</v>
      </c>
      <c r="H194">
        <v>0</v>
      </c>
      <c r="I194">
        <v>0</v>
      </c>
    </row>
    <row r="195" spans="1:9" x14ac:dyDescent="0.5">
      <c r="A195" s="1">
        <v>45576</v>
      </c>
      <c r="B195">
        <v>2.49741652937733E-2</v>
      </c>
      <c r="C195">
        <v>508</v>
      </c>
      <c r="D195">
        <v>517.969970703125</v>
      </c>
      <c r="E195">
        <v>507.79998779296801</v>
      </c>
      <c r="F195">
        <v>516.29998779296795</v>
      </c>
      <c r="G195">
        <v>2409700</v>
      </c>
      <c r="H195">
        <v>0</v>
      </c>
      <c r="I195">
        <v>0</v>
      </c>
    </row>
    <row r="196" spans="1:9" x14ac:dyDescent="0.5">
      <c r="A196" s="1">
        <v>45579</v>
      </c>
      <c r="B196">
        <v>1.2492760719602499E-2</v>
      </c>
      <c r="C196">
        <v>517.65002441406205</v>
      </c>
      <c r="D196">
        <v>523.07000732421795</v>
      </c>
      <c r="E196">
        <v>515.510009765625</v>
      </c>
      <c r="F196">
        <v>522.75</v>
      </c>
      <c r="G196">
        <v>2174900</v>
      </c>
      <c r="H196">
        <v>0</v>
      </c>
      <c r="I196">
        <v>0</v>
      </c>
    </row>
    <row r="197" spans="1:9" x14ac:dyDescent="0.5">
      <c r="A197" s="1">
        <v>45580</v>
      </c>
      <c r="B197">
        <v>-7.0778597262077803E-4</v>
      </c>
      <c r="C197">
        <v>538.79998779296795</v>
      </c>
      <c r="D197">
        <v>540.510009765625</v>
      </c>
      <c r="E197">
        <v>515.510009765625</v>
      </c>
      <c r="F197">
        <v>522.38000488281205</v>
      </c>
      <c r="G197">
        <v>4525400</v>
      </c>
      <c r="H197">
        <v>0</v>
      </c>
      <c r="I197">
        <v>0</v>
      </c>
    </row>
    <row r="198" spans="1:9" x14ac:dyDescent="0.5">
      <c r="A198" s="1">
        <v>45581</v>
      </c>
      <c r="B198">
        <v>1.43190405429625E-2</v>
      </c>
      <c r="C198">
        <v>530</v>
      </c>
      <c r="D198">
        <v>536.219970703125</v>
      </c>
      <c r="E198">
        <v>525.97998046875</v>
      </c>
      <c r="F198">
        <v>529.85998535156205</v>
      </c>
      <c r="G198">
        <v>2649000</v>
      </c>
      <c r="H198">
        <v>0</v>
      </c>
      <c r="I198">
        <v>0</v>
      </c>
    </row>
    <row r="199" spans="1:9" x14ac:dyDescent="0.5">
      <c r="A199" s="1">
        <v>45582</v>
      </c>
      <c r="B199">
        <v>-1.6230426439768301E-3</v>
      </c>
      <c r="C199">
        <v>531.239990234375</v>
      </c>
      <c r="D199">
        <v>535.28997802734295</v>
      </c>
      <c r="E199">
        <v>528.22998046875</v>
      </c>
      <c r="F199">
        <v>529</v>
      </c>
      <c r="G199">
        <v>2123500</v>
      </c>
      <c r="H199">
        <v>0</v>
      </c>
      <c r="I199">
        <v>0</v>
      </c>
    </row>
    <row r="200" spans="1:9" x14ac:dyDescent="0.5">
      <c r="A200" s="1">
        <v>45583</v>
      </c>
      <c r="B200">
        <v>-9.4517958412099201E-4</v>
      </c>
      <c r="C200">
        <v>529.39001464843705</v>
      </c>
      <c r="D200">
        <v>530.77001953125</v>
      </c>
      <c r="E200">
        <v>526.86999511718705</v>
      </c>
      <c r="F200">
        <v>528.5</v>
      </c>
      <c r="G200">
        <v>1779200</v>
      </c>
      <c r="H200">
        <v>0</v>
      </c>
      <c r="I200">
        <v>0</v>
      </c>
    </row>
    <row r="201" spans="1:9" x14ac:dyDescent="0.5">
      <c r="A201" s="1">
        <v>45586</v>
      </c>
      <c r="B201">
        <v>-2.0246002283881199E-2</v>
      </c>
      <c r="C201">
        <v>528</v>
      </c>
      <c r="D201">
        <v>529.84997558593705</v>
      </c>
      <c r="E201">
        <v>517</v>
      </c>
      <c r="F201">
        <v>517.79998779296795</v>
      </c>
      <c r="G201">
        <v>1752100</v>
      </c>
      <c r="H201">
        <v>0</v>
      </c>
      <c r="I201">
        <v>0</v>
      </c>
    </row>
    <row r="202" spans="1:9" x14ac:dyDescent="0.5">
      <c r="A202" s="1">
        <v>45587</v>
      </c>
      <c r="B202">
        <v>9.6562381573472801E-4</v>
      </c>
      <c r="C202">
        <v>515.60998535156205</v>
      </c>
      <c r="D202">
        <v>519.63000488281205</v>
      </c>
      <c r="E202">
        <v>512.94000244140602</v>
      </c>
      <c r="F202">
        <v>518.29998779296795</v>
      </c>
      <c r="G202">
        <v>1588000</v>
      </c>
      <c r="H202">
        <v>0</v>
      </c>
      <c r="I202">
        <v>0</v>
      </c>
    </row>
    <row r="203" spans="1:9" x14ac:dyDescent="0.5">
      <c r="A203" s="1">
        <v>45588</v>
      </c>
      <c r="B203">
        <v>-2.1222759248392602E-3</v>
      </c>
      <c r="C203">
        <v>515.79998779296795</v>
      </c>
      <c r="D203">
        <v>520</v>
      </c>
      <c r="E203">
        <v>513.40002441406205</v>
      </c>
      <c r="F203">
        <v>517.20001220703102</v>
      </c>
      <c r="G203">
        <v>1263200</v>
      </c>
      <c r="H203">
        <v>0</v>
      </c>
      <c r="I203">
        <v>0</v>
      </c>
    </row>
    <row r="204" spans="1:9" x14ac:dyDescent="0.5">
      <c r="A204" s="1">
        <v>45589</v>
      </c>
      <c r="B204">
        <v>1.4114438555052899E-2</v>
      </c>
      <c r="C204">
        <v>519</v>
      </c>
      <c r="D204">
        <v>525</v>
      </c>
      <c r="E204">
        <v>518.20001220703102</v>
      </c>
      <c r="F204">
        <v>524.5</v>
      </c>
      <c r="G204">
        <v>2058200</v>
      </c>
      <c r="H204">
        <v>0</v>
      </c>
      <c r="I204">
        <v>0</v>
      </c>
    </row>
    <row r="205" spans="1:9" x14ac:dyDescent="0.5">
      <c r="A205" s="1">
        <v>45590</v>
      </c>
      <c r="B205">
        <v>-2.2688321094494798E-2</v>
      </c>
      <c r="C205">
        <v>528.04998779296795</v>
      </c>
      <c r="D205">
        <v>528.79998779296795</v>
      </c>
      <c r="E205">
        <v>510.739990234375</v>
      </c>
      <c r="F205">
        <v>512.59997558593705</v>
      </c>
      <c r="G205">
        <v>1633200</v>
      </c>
      <c r="H205">
        <v>0</v>
      </c>
      <c r="I205">
        <v>0</v>
      </c>
    </row>
    <row r="206" spans="1:9" x14ac:dyDescent="0.5">
      <c r="A206" s="1">
        <v>45593</v>
      </c>
      <c r="B206">
        <v>2.1420292678233602E-2</v>
      </c>
      <c r="C206">
        <v>515.40002441406205</v>
      </c>
      <c r="D206">
        <v>524.59002685546795</v>
      </c>
      <c r="E206">
        <v>514.97998046875</v>
      </c>
      <c r="F206">
        <v>523.58001708984295</v>
      </c>
      <c r="G206">
        <v>1687100</v>
      </c>
      <c r="H206">
        <v>0</v>
      </c>
      <c r="I206">
        <v>0</v>
      </c>
    </row>
    <row r="207" spans="1:9" x14ac:dyDescent="0.5">
      <c r="A207" s="1">
        <v>45594</v>
      </c>
      <c r="B207">
        <v>1.33697273421939E-3</v>
      </c>
      <c r="C207">
        <v>521.17999267578102</v>
      </c>
      <c r="D207">
        <v>527.239990234375</v>
      </c>
      <c r="E207">
        <v>521</v>
      </c>
      <c r="F207">
        <v>524.280029296875</v>
      </c>
      <c r="G207">
        <v>1281600</v>
      </c>
      <c r="H207">
        <v>0</v>
      </c>
      <c r="I207">
        <v>0</v>
      </c>
    </row>
    <row r="208" spans="1:9" x14ac:dyDescent="0.5">
      <c r="A208" s="1">
        <v>45595</v>
      </c>
      <c r="B208">
        <v>2.2887600229304299E-4</v>
      </c>
      <c r="C208">
        <v>523.40002441406205</v>
      </c>
      <c r="D208">
        <v>530.78997802734295</v>
      </c>
      <c r="E208">
        <v>523.07000732421795</v>
      </c>
      <c r="F208">
        <v>524.40002441406205</v>
      </c>
      <c r="G208">
        <v>1441600</v>
      </c>
      <c r="H208">
        <v>0</v>
      </c>
      <c r="I208">
        <v>0</v>
      </c>
    </row>
    <row r="209" spans="1:9" x14ac:dyDescent="0.5">
      <c r="A209" s="1">
        <v>45596</v>
      </c>
      <c r="B209">
        <v>-1.26049696395503E-2</v>
      </c>
      <c r="C209">
        <v>522.44000244140602</v>
      </c>
      <c r="D209">
        <v>525</v>
      </c>
      <c r="E209">
        <v>514.530029296875</v>
      </c>
      <c r="F209">
        <v>517.78997802734295</v>
      </c>
      <c r="G209">
        <v>2061700</v>
      </c>
      <c r="H209">
        <v>0</v>
      </c>
      <c r="I209">
        <v>0</v>
      </c>
    </row>
    <row r="210" spans="1:9" x14ac:dyDescent="0.5">
      <c r="A210" s="1">
        <v>45597</v>
      </c>
      <c r="B210">
        <v>3.0127998315783102E-3</v>
      </c>
      <c r="C210">
        <v>520</v>
      </c>
      <c r="D210">
        <v>526.64001464843705</v>
      </c>
      <c r="E210">
        <v>517.03997802734295</v>
      </c>
      <c r="F210">
        <v>519.34997558593705</v>
      </c>
      <c r="G210">
        <v>1625000</v>
      </c>
      <c r="H210">
        <v>0</v>
      </c>
      <c r="I210">
        <v>0</v>
      </c>
    </row>
    <row r="211" spans="1:9" x14ac:dyDescent="0.5">
      <c r="A211" s="1">
        <v>45600</v>
      </c>
      <c r="B211">
        <v>-1.51727635229867E-2</v>
      </c>
      <c r="C211">
        <v>518</v>
      </c>
      <c r="D211">
        <v>518.04998779296795</v>
      </c>
      <c r="E211">
        <v>510.510009765625</v>
      </c>
      <c r="F211">
        <v>511.47000122070301</v>
      </c>
      <c r="G211">
        <v>1797800</v>
      </c>
      <c r="H211">
        <v>0</v>
      </c>
      <c r="I211">
        <v>0</v>
      </c>
    </row>
    <row r="212" spans="1:9" x14ac:dyDescent="0.5">
      <c r="A212" s="1">
        <v>45601</v>
      </c>
      <c r="B212">
        <v>3.0285296723138799E-2</v>
      </c>
      <c r="C212">
        <v>513</v>
      </c>
      <c r="D212">
        <v>527.46002197265602</v>
      </c>
      <c r="E212">
        <v>512.59997558593705</v>
      </c>
      <c r="F212">
        <v>526.96002197265602</v>
      </c>
      <c r="G212">
        <v>2169900</v>
      </c>
      <c r="H212">
        <v>0</v>
      </c>
      <c r="I212">
        <v>0</v>
      </c>
    </row>
    <row r="213" spans="1:9" x14ac:dyDescent="0.5">
      <c r="A213" s="1">
        <v>45602</v>
      </c>
      <c r="B213">
        <v>0.13097759909322901</v>
      </c>
      <c r="C213">
        <v>567.29998779296795</v>
      </c>
      <c r="D213">
        <v>598.60998535156205</v>
      </c>
      <c r="E213">
        <v>566.09997558593705</v>
      </c>
      <c r="F213">
        <v>595.97998046875</v>
      </c>
      <c r="G213">
        <v>8042800</v>
      </c>
      <c r="H213">
        <v>0</v>
      </c>
      <c r="I213">
        <v>0</v>
      </c>
    </row>
    <row r="214" spans="1:9" x14ac:dyDescent="0.5">
      <c r="A214" s="1">
        <v>45603</v>
      </c>
      <c r="B214">
        <v>-2.3171915183680999E-2</v>
      </c>
      <c r="C214">
        <v>590</v>
      </c>
      <c r="D214">
        <v>595</v>
      </c>
      <c r="E214">
        <v>581.52001953125</v>
      </c>
      <c r="F214">
        <v>582.16998291015602</v>
      </c>
      <c r="G214">
        <v>4475600</v>
      </c>
      <c r="H214">
        <v>0</v>
      </c>
      <c r="I214">
        <v>0</v>
      </c>
    </row>
    <row r="215" spans="1:9" x14ac:dyDescent="0.5">
      <c r="A215" s="1">
        <v>45604</v>
      </c>
      <c r="B215">
        <v>1.21786197564275E-2</v>
      </c>
      <c r="C215">
        <v>586.41998291015602</v>
      </c>
      <c r="D215">
        <v>595.15002441406205</v>
      </c>
      <c r="E215">
        <v>581.29998779296795</v>
      </c>
      <c r="F215">
        <v>589.260009765625</v>
      </c>
      <c r="G215">
        <v>2714000</v>
      </c>
      <c r="H215">
        <v>0</v>
      </c>
      <c r="I215">
        <v>0</v>
      </c>
    </row>
    <row r="216" spans="1:9" x14ac:dyDescent="0.5">
      <c r="A216" s="1">
        <v>45607</v>
      </c>
      <c r="B216">
        <v>2.21973608815677E-2</v>
      </c>
      <c r="C216">
        <v>598.90002441406205</v>
      </c>
      <c r="D216">
        <v>607.15002441406205</v>
      </c>
      <c r="E216">
        <v>596.16998291015602</v>
      </c>
      <c r="F216">
        <v>602.34002685546795</v>
      </c>
      <c r="G216">
        <v>2510800</v>
      </c>
      <c r="H216">
        <v>0</v>
      </c>
      <c r="I216">
        <v>0</v>
      </c>
    </row>
    <row r="217" spans="1:9" x14ac:dyDescent="0.5">
      <c r="A217" s="1">
        <v>45608</v>
      </c>
      <c r="B217">
        <v>-1.6186870480615598E-2</v>
      </c>
      <c r="C217">
        <v>598.04998779296795</v>
      </c>
      <c r="D217">
        <v>602.09002685546795</v>
      </c>
      <c r="E217">
        <v>591.469970703125</v>
      </c>
      <c r="F217">
        <v>592.59002685546795</v>
      </c>
      <c r="G217">
        <v>2392900</v>
      </c>
      <c r="H217">
        <v>0</v>
      </c>
      <c r="I217">
        <v>0</v>
      </c>
    </row>
    <row r="218" spans="1:9" x14ac:dyDescent="0.5">
      <c r="A218" s="1">
        <v>45609</v>
      </c>
      <c r="B218">
        <v>2.7505421518911801E-3</v>
      </c>
      <c r="C218">
        <v>594.63000488281205</v>
      </c>
      <c r="D218">
        <v>603.54998779296795</v>
      </c>
      <c r="E218">
        <v>592.65002441406205</v>
      </c>
      <c r="F218">
        <v>594.219970703125</v>
      </c>
      <c r="G218">
        <v>1763100</v>
      </c>
      <c r="H218">
        <v>0</v>
      </c>
      <c r="I218">
        <v>0</v>
      </c>
    </row>
    <row r="219" spans="1:9" x14ac:dyDescent="0.5">
      <c r="A219" s="1">
        <v>45610</v>
      </c>
      <c r="B219">
        <v>-9.4409236110397608E-3</v>
      </c>
      <c r="C219">
        <v>600</v>
      </c>
      <c r="D219">
        <v>601.530029296875</v>
      </c>
      <c r="E219">
        <v>586.239990234375</v>
      </c>
      <c r="F219">
        <v>588.60998535156205</v>
      </c>
      <c r="G219">
        <v>1670500</v>
      </c>
      <c r="H219">
        <v>0</v>
      </c>
      <c r="I219">
        <v>0</v>
      </c>
    </row>
    <row r="220" spans="1:9" x14ac:dyDescent="0.5">
      <c r="A220" s="1">
        <v>45611</v>
      </c>
      <c r="B220">
        <v>8.3756524667801795E-3</v>
      </c>
      <c r="C220">
        <v>593.35998535156205</v>
      </c>
      <c r="D220">
        <v>595.14001464843705</v>
      </c>
      <c r="E220">
        <v>587.09002685546795</v>
      </c>
      <c r="F220">
        <v>593.53997802734295</v>
      </c>
      <c r="G220">
        <v>2007700</v>
      </c>
      <c r="H220">
        <v>0</v>
      </c>
      <c r="I220">
        <v>0</v>
      </c>
    </row>
    <row r="221" spans="1:9" x14ac:dyDescent="0.5">
      <c r="A221" s="1">
        <v>45614</v>
      </c>
      <c r="B221">
        <v>-9.3506553870463804E-3</v>
      </c>
      <c r="C221">
        <v>594.71002197265602</v>
      </c>
      <c r="D221">
        <v>595.07000732421795</v>
      </c>
      <c r="E221">
        <v>584.719970703125</v>
      </c>
      <c r="F221">
        <v>587.989990234375</v>
      </c>
      <c r="G221">
        <v>1857600</v>
      </c>
      <c r="H221">
        <v>0</v>
      </c>
      <c r="I221">
        <v>0</v>
      </c>
    </row>
    <row r="222" spans="1:9" x14ac:dyDescent="0.5">
      <c r="A222" s="1">
        <v>45615</v>
      </c>
      <c r="B222">
        <v>-1.12416630577805E-2</v>
      </c>
      <c r="C222">
        <v>579.65997314453102</v>
      </c>
      <c r="D222">
        <v>584.760009765625</v>
      </c>
      <c r="E222">
        <v>575.510009765625</v>
      </c>
      <c r="F222">
        <v>581.38000488281205</v>
      </c>
      <c r="G222">
        <v>2217400</v>
      </c>
      <c r="H222">
        <v>0</v>
      </c>
      <c r="I222">
        <v>0</v>
      </c>
    </row>
    <row r="223" spans="1:9" x14ac:dyDescent="0.5">
      <c r="A223" s="1">
        <v>45616</v>
      </c>
      <c r="B223">
        <v>9.46003970466069E-4</v>
      </c>
      <c r="C223">
        <v>583.83001708984295</v>
      </c>
      <c r="D223">
        <v>587.79998779296795</v>
      </c>
      <c r="E223">
        <v>576.61999511718705</v>
      </c>
      <c r="F223">
        <v>581.92999267578102</v>
      </c>
      <c r="G223">
        <v>1528600</v>
      </c>
      <c r="H223">
        <v>0</v>
      </c>
      <c r="I223">
        <v>0</v>
      </c>
    </row>
    <row r="224" spans="1:9" x14ac:dyDescent="0.5">
      <c r="A224" s="1">
        <v>45617</v>
      </c>
      <c r="B224">
        <v>2.4367179650906099E-2</v>
      </c>
      <c r="C224">
        <v>586.510009765625</v>
      </c>
      <c r="D224">
        <v>600.70001220703102</v>
      </c>
      <c r="E224">
        <v>584.510009765625</v>
      </c>
      <c r="F224">
        <v>596.10998535156205</v>
      </c>
      <c r="G224">
        <v>2281900</v>
      </c>
      <c r="H224">
        <v>0</v>
      </c>
      <c r="I224">
        <v>0</v>
      </c>
    </row>
    <row r="225" spans="1:9" x14ac:dyDescent="0.5">
      <c r="A225" s="1">
        <v>45618</v>
      </c>
      <c r="B225">
        <v>1.1189284040224101E-2</v>
      </c>
      <c r="C225">
        <v>596.219970703125</v>
      </c>
      <c r="D225">
        <v>603.94000244140602</v>
      </c>
      <c r="E225">
        <v>594.44000244140602</v>
      </c>
      <c r="F225">
        <v>602.780029296875</v>
      </c>
      <c r="G225">
        <v>1733700</v>
      </c>
      <c r="H225">
        <v>0</v>
      </c>
      <c r="I225">
        <v>0</v>
      </c>
    </row>
    <row r="226" spans="1:9" x14ac:dyDescent="0.5">
      <c r="A226" s="1">
        <v>45621</v>
      </c>
      <c r="B226">
        <v>4.1474499460703002E-4</v>
      </c>
      <c r="C226">
        <v>608.78997802734295</v>
      </c>
      <c r="D226">
        <v>611.29998779296795</v>
      </c>
      <c r="E226">
        <v>598.83001708984295</v>
      </c>
      <c r="F226">
        <v>603.030029296875</v>
      </c>
      <c r="G226">
        <v>2940800</v>
      </c>
      <c r="H226">
        <v>0</v>
      </c>
      <c r="I226">
        <v>0</v>
      </c>
    </row>
    <row r="227" spans="1:9" x14ac:dyDescent="0.5">
      <c r="A227" s="1">
        <v>45622</v>
      </c>
      <c r="B227">
        <v>4.0959331760061996E-3</v>
      </c>
      <c r="C227">
        <v>600.13000488281205</v>
      </c>
      <c r="D227">
        <v>607.19000244140602</v>
      </c>
      <c r="E227">
        <v>593</v>
      </c>
      <c r="F227">
        <v>605.5</v>
      </c>
      <c r="G227">
        <v>2846500</v>
      </c>
      <c r="H227">
        <v>0</v>
      </c>
      <c r="I227">
        <v>0</v>
      </c>
    </row>
    <row r="228" spans="1:9" x14ac:dyDescent="0.5">
      <c r="A228" s="1">
        <v>45623</v>
      </c>
      <c r="B228">
        <v>-1.15619032566072E-4</v>
      </c>
      <c r="C228">
        <v>607.67999267578102</v>
      </c>
      <c r="D228">
        <v>612.25</v>
      </c>
      <c r="E228">
        <v>603.280029296875</v>
      </c>
      <c r="F228">
        <v>605.42999267578102</v>
      </c>
      <c r="G228">
        <v>1424500</v>
      </c>
      <c r="H228">
        <v>0</v>
      </c>
      <c r="I228">
        <v>0</v>
      </c>
    </row>
    <row r="229" spans="1:9" x14ac:dyDescent="0.5">
      <c r="A229" s="1">
        <v>45625</v>
      </c>
      <c r="B229">
        <v>5.18642070334141E-3</v>
      </c>
      <c r="C229">
        <v>609.30999755859295</v>
      </c>
      <c r="D229">
        <v>612.72998046875</v>
      </c>
      <c r="E229">
        <v>607.05999755859295</v>
      </c>
      <c r="F229">
        <v>608.57000732421795</v>
      </c>
      <c r="G229">
        <v>1170200</v>
      </c>
      <c r="H229">
        <v>0</v>
      </c>
      <c r="I229">
        <v>0</v>
      </c>
    </row>
    <row r="230" spans="1:9" x14ac:dyDescent="0.5">
      <c r="A230" s="1">
        <v>45628</v>
      </c>
      <c r="B230">
        <v>-1.12723027244223E-2</v>
      </c>
      <c r="C230">
        <v>608</v>
      </c>
      <c r="D230">
        <v>611.90997314453102</v>
      </c>
      <c r="E230">
        <v>601.29998779296795</v>
      </c>
      <c r="F230">
        <v>601.71002197265602</v>
      </c>
      <c r="G230">
        <v>1804100</v>
      </c>
      <c r="H230">
        <v>0</v>
      </c>
      <c r="I230">
        <v>0</v>
      </c>
    </row>
    <row r="231" spans="1:9" x14ac:dyDescent="0.5">
      <c r="A231" s="1">
        <v>45629</v>
      </c>
      <c r="B231">
        <v>6.1490602395908301E-4</v>
      </c>
      <c r="C231">
        <v>608.96002197265602</v>
      </c>
      <c r="D231">
        <v>611.41998291015602</v>
      </c>
      <c r="E231">
        <v>600.79998779296795</v>
      </c>
      <c r="F231">
        <v>602.08001708984295</v>
      </c>
      <c r="G231">
        <v>1718100</v>
      </c>
      <c r="H231">
        <v>0</v>
      </c>
      <c r="I231">
        <v>0</v>
      </c>
    </row>
    <row r="232" spans="1:9" x14ac:dyDescent="0.5">
      <c r="A232" s="1">
        <v>45630</v>
      </c>
      <c r="B232">
        <v>-5.5972545534336204E-3</v>
      </c>
      <c r="C232">
        <v>603</v>
      </c>
      <c r="D232">
        <v>604.280029296875</v>
      </c>
      <c r="E232">
        <v>596.760009765625</v>
      </c>
      <c r="F232">
        <v>598.71002197265602</v>
      </c>
      <c r="G232">
        <v>1617300</v>
      </c>
      <c r="H232">
        <v>0</v>
      </c>
      <c r="I232">
        <v>0</v>
      </c>
    </row>
    <row r="233" spans="1:9" x14ac:dyDescent="0.5">
      <c r="A233" s="1">
        <v>45631</v>
      </c>
      <c r="B233">
        <v>-3.19024921846844E-3</v>
      </c>
      <c r="C233">
        <v>600.530029296875</v>
      </c>
      <c r="D233">
        <v>606.55999755859295</v>
      </c>
      <c r="E233">
        <v>596.34997558593705</v>
      </c>
      <c r="F233">
        <v>596.79998779296795</v>
      </c>
      <c r="G233">
        <v>1672800</v>
      </c>
      <c r="H233">
        <v>0</v>
      </c>
      <c r="I233">
        <v>0</v>
      </c>
    </row>
    <row r="234" spans="1:9" x14ac:dyDescent="0.5">
      <c r="A234" s="1">
        <v>45632</v>
      </c>
      <c r="B234">
        <v>4.8257455457783004E-3</v>
      </c>
      <c r="C234">
        <v>597.15997314453102</v>
      </c>
      <c r="D234">
        <v>600</v>
      </c>
      <c r="E234">
        <v>594.36999511718705</v>
      </c>
      <c r="F234">
        <v>599.67999267578102</v>
      </c>
      <c r="G234">
        <v>1405700</v>
      </c>
      <c r="H234">
        <v>0</v>
      </c>
      <c r="I234">
        <v>0</v>
      </c>
    </row>
    <row r="235" spans="1:9" x14ac:dyDescent="0.5">
      <c r="A235" s="1">
        <v>45635</v>
      </c>
      <c r="B235">
        <v>-9.2716075682047708E-3</v>
      </c>
      <c r="C235">
        <v>598.989990234375</v>
      </c>
      <c r="D235">
        <v>603</v>
      </c>
      <c r="E235">
        <v>593.719970703125</v>
      </c>
      <c r="F235">
        <v>594.11999511718705</v>
      </c>
      <c r="G235">
        <v>1633200</v>
      </c>
      <c r="H235">
        <v>0</v>
      </c>
      <c r="I235">
        <v>0</v>
      </c>
    </row>
    <row r="236" spans="1:9" x14ac:dyDescent="0.5">
      <c r="A236" s="1">
        <v>45636</v>
      </c>
      <c r="B236">
        <v>-1.52998820019844E-2</v>
      </c>
      <c r="C236">
        <v>590</v>
      </c>
      <c r="D236">
        <v>596.27001953125</v>
      </c>
      <c r="E236">
        <v>583.760009765625</v>
      </c>
      <c r="F236">
        <v>585.030029296875</v>
      </c>
      <c r="G236">
        <v>2600800</v>
      </c>
      <c r="H236">
        <v>0</v>
      </c>
      <c r="I236">
        <v>0</v>
      </c>
    </row>
    <row r="237" spans="1:9" x14ac:dyDescent="0.5">
      <c r="A237" s="1">
        <v>45637</v>
      </c>
      <c r="B237">
        <v>1.2871079918356799E-2</v>
      </c>
      <c r="C237">
        <v>590.11999511718705</v>
      </c>
      <c r="D237">
        <v>593.71002197265602</v>
      </c>
      <c r="E237">
        <v>586.90002441406205</v>
      </c>
      <c r="F237">
        <v>592.55999755859295</v>
      </c>
      <c r="G237">
        <v>2195300</v>
      </c>
      <c r="H237">
        <v>0</v>
      </c>
      <c r="I237">
        <v>0</v>
      </c>
    </row>
    <row r="238" spans="1:9" x14ac:dyDescent="0.5">
      <c r="A238" s="1">
        <v>45638</v>
      </c>
      <c r="B238">
        <v>-1.6032337838284201E-3</v>
      </c>
      <c r="C238">
        <v>592.59002685546795</v>
      </c>
      <c r="D238">
        <v>596.32000732421795</v>
      </c>
      <c r="E238">
        <v>588.60998535156205</v>
      </c>
      <c r="F238">
        <v>591.60998535156205</v>
      </c>
      <c r="G238">
        <v>1218400</v>
      </c>
      <c r="H238">
        <v>0</v>
      </c>
      <c r="I238">
        <v>0</v>
      </c>
    </row>
    <row r="239" spans="1:9" x14ac:dyDescent="0.5">
      <c r="A239" s="1">
        <v>45639</v>
      </c>
      <c r="B239">
        <v>-1.03615642646223E-2</v>
      </c>
      <c r="C239">
        <v>594</v>
      </c>
      <c r="D239">
        <v>595</v>
      </c>
      <c r="E239">
        <v>585.08001708984295</v>
      </c>
      <c r="F239">
        <v>585.47998046875</v>
      </c>
      <c r="G239">
        <v>1215000</v>
      </c>
      <c r="H239">
        <v>0</v>
      </c>
      <c r="I239">
        <v>0</v>
      </c>
    </row>
    <row r="240" spans="1:9" x14ac:dyDescent="0.5">
      <c r="A240" s="1">
        <v>45642</v>
      </c>
      <c r="B240">
        <v>1.45186282955944E-3</v>
      </c>
      <c r="C240">
        <v>588</v>
      </c>
      <c r="D240">
        <v>588.27001953125</v>
      </c>
      <c r="E240">
        <v>578.70001220703102</v>
      </c>
      <c r="F240">
        <v>586.33001708984295</v>
      </c>
      <c r="G240">
        <v>1713300</v>
      </c>
      <c r="H240">
        <v>0</v>
      </c>
      <c r="I240">
        <v>0</v>
      </c>
    </row>
    <row r="241" spans="1:9" x14ac:dyDescent="0.5">
      <c r="A241" s="1">
        <v>45643</v>
      </c>
      <c r="B241">
        <v>-1.98693979064649E-2</v>
      </c>
      <c r="C241">
        <v>580.84002685546795</v>
      </c>
      <c r="D241">
        <v>581.60998535156205</v>
      </c>
      <c r="E241">
        <v>572.28997802734295</v>
      </c>
      <c r="F241">
        <v>574.67999267578102</v>
      </c>
      <c r="G241">
        <v>2314100</v>
      </c>
      <c r="H241">
        <v>0</v>
      </c>
      <c r="I241">
        <v>0</v>
      </c>
    </row>
    <row r="242" spans="1:9" x14ac:dyDescent="0.5">
      <c r="A242" s="1">
        <v>45644</v>
      </c>
      <c r="B242">
        <v>-4.25106023998367E-2</v>
      </c>
      <c r="C242">
        <v>577.489990234375</v>
      </c>
      <c r="D242">
        <v>579.469970703125</v>
      </c>
      <c r="E242">
        <v>544.489990234375</v>
      </c>
      <c r="F242">
        <v>550.25</v>
      </c>
      <c r="G242">
        <v>3271600</v>
      </c>
      <c r="H242">
        <v>0</v>
      </c>
      <c r="I242">
        <v>0</v>
      </c>
    </row>
    <row r="243" spans="1:9" x14ac:dyDescent="0.5">
      <c r="A243" s="1">
        <v>45645</v>
      </c>
      <c r="B243">
        <v>6.7968927476147398E-3</v>
      </c>
      <c r="C243">
        <v>561.44000244140602</v>
      </c>
      <c r="D243">
        <v>567</v>
      </c>
      <c r="E243">
        <v>553.59997558593705</v>
      </c>
      <c r="F243">
        <v>553.989990234375</v>
      </c>
      <c r="G243">
        <v>2753300</v>
      </c>
      <c r="H243">
        <v>0</v>
      </c>
      <c r="I243">
        <v>0</v>
      </c>
    </row>
    <row r="244" spans="1:9" x14ac:dyDescent="0.5">
      <c r="A244" s="1">
        <v>45646</v>
      </c>
      <c r="B244">
        <v>2.1859574297433002E-2</v>
      </c>
      <c r="C244">
        <v>554.94000244140602</v>
      </c>
      <c r="D244">
        <v>572.90002441406205</v>
      </c>
      <c r="E244">
        <v>553.38000488281205</v>
      </c>
      <c r="F244">
        <v>566.09997558593705</v>
      </c>
      <c r="G244">
        <v>4515900</v>
      </c>
      <c r="H244">
        <v>0</v>
      </c>
      <c r="I244">
        <v>0</v>
      </c>
    </row>
    <row r="245" spans="1:9" x14ac:dyDescent="0.5">
      <c r="A245" s="1">
        <v>45649</v>
      </c>
      <c r="B245">
        <v>8.2671858554550504E-3</v>
      </c>
      <c r="C245">
        <v>565</v>
      </c>
      <c r="D245">
        <v>571.64001464843705</v>
      </c>
      <c r="E245">
        <v>561.79998779296795</v>
      </c>
      <c r="F245">
        <v>570.780029296875</v>
      </c>
      <c r="G245">
        <v>1519500</v>
      </c>
      <c r="H245">
        <v>0</v>
      </c>
      <c r="I245">
        <v>0</v>
      </c>
    </row>
    <row r="246" spans="1:9" x14ac:dyDescent="0.5">
      <c r="A246" s="1">
        <v>45650</v>
      </c>
      <c r="B246">
        <v>2.1041291064901799E-2</v>
      </c>
      <c r="C246">
        <v>574.20001220703102</v>
      </c>
      <c r="D246">
        <v>582.78997802734295</v>
      </c>
      <c r="E246">
        <v>571.35998535156205</v>
      </c>
      <c r="F246">
        <v>582.78997802734295</v>
      </c>
      <c r="G246">
        <v>913400</v>
      </c>
      <c r="H246">
        <v>0</v>
      </c>
      <c r="I246">
        <v>0</v>
      </c>
    </row>
    <row r="247" spans="1:9" x14ac:dyDescent="0.5">
      <c r="A247" s="1">
        <v>45652</v>
      </c>
      <c r="B247">
        <v>-2.6767748544237399E-3</v>
      </c>
      <c r="C247">
        <v>578.15002441406205</v>
      </c>
      <c r="D247">
        <v>582.59002685546795</v>
      </c>
      <c r="E247">
        <v>577.5</v>
      </c>
      <c r="F247">
        <v>581.22998046875</v>
      </c>
      <c r="G247">
        <v>1092000</v>
      </c>
      <c r="H247">
        <v>0</v>
      </c>
      <c r="I247">
        <v>0</v>
      </c>
    </row>
    <row r="248" spans="1:9" x14ac:dyDescent="0.5">
      <c r="A248" s="1">
        <v>45653</v>
      </c>
      <c r="B248">
        <v>-8.6884502910466992E-3</v>
      </c>
      <c r="C248">
        <v>577</v>
      </c>
      <c r="D248">
        <v>581.96002197265602</v>
      </c>
      <c r="E248">
        <v>571.34997558593705</v>
      </c>
      <c r="F248">
        <v>576.17999267578102</v>
      </c>
      <c r="G248">
        <v>1486000</v>
      </c>
      <c r="H248">
        <v>0</v>
      </c>
      <c r="I248">
        <v>0</v>
      </c>
    </row>
    <row r="249" spans="1:9" x14ac:dyDescent="0.5">
      <c r="A249" s="1">
        <v>45656</v>
      </c>
      <c r="B249">
        <v>-4.5645543341391497E-3</v>
      </c>
      <c r="C249">
        <v>567.27001953125</v>
      </c>
      <c r="D249">
        <v>576.02001953125</v>
      </c>
      <c r="E249">
        <v>565.09997558593705</v>
      </c>
      <c r="F249">
        <v>573.54998779296795</v>
      </c>
      <c r="G249">
        <v>1265900</v>
      </c>
      <c r="H249">
        <v>0</v>
      </c>
      <c r="I249">
        <v>0</v>
      </c>
    </row>
    <row r="250" spans="1:9" x14ac:dyDescent="0.5">
      <c r="A250" s="1">
        <v>45657</v>
      </c>
      <c r="B250">
        <v>-1.6214675190908601E-3</v>
      </c>
      <c r="C250">
        <v>575.07000732421795</v>
      </c>
      <c r="D250">
        <v>576.91998291015602</v>
      </c>
      <c r="E250">
        <v>570.40002441406205</v>
      </c>
      <c r="F250">
        <v>572.61999511718705</v>
      </c>
      <c r="G250">
        <v>1055800</v>
      </c>
      <c r="H250">
        <v>0</v>
      </c>
      <c r="I250">
        <v>0</v>
      </c>
    </row>
    <row r="251" spans="1:9" x14ac:dyDescent="0.5">
      <c r="A251" s="1">
        <v>45659</v>
      </c>
      <c r="B251">
        <v>4.1039006775453997E-3</v>
      </c>
      <c r="C251">
        <v>579.30999755859295</v>
      </c>
      <c r="D251">
        <v>584.30999755859295</v>
      </c>
      <c r="E251">
        <v>569.739990234375</v>
      </c>
      <c r="F251">
        <v>574.969970703125</v>
      </c>
      <c r="G251">
        <v>2219000</v>
      </c>
      <c r="H251">
        <v>0</v>
      </c>
      <c r="I251">
        <v>0</v>
      </c>
    </row>
    <row r="252" spans="1:9" x14ac:dyDescent="0.5">
      <c r="A252" s="1">
        <v>45660</v>
      </c>
      <c r="B252">
        <v>8.9744411753840403E-3</v>
      </c>
      <c r="C252">
        <v>581</v>
      </c>
      <c r="D252">
        <v>582.14001464843705</v>
      </c>
      <c r="E252">
        <v>571.72998046875</v>
      </c>
      <c r="F252">
        <v>580.13000488281205</v>
      </c>
      <c r="G252">
        <v>1422600</v>
      </c>
      <c r="H252">
        <v>0</v>
      </c>
      <c r="I252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F2008-41FF-D04A-A50D-90C654295E3C}">
  <sheetPr codeName="Sheet3"/>
  <dimension ref="A1:F40"/>
  <sheetViews>
    <sheetView topLeftCell="A11" workbookViewId="0"/>
  </sheetViews>
  <sheetFormatPr defaultColWidth="11" defaultRowHeight="15.75" x14ac:dyDescent="0.5"/>
  <cols>
    <col min="1" max="1" width="48.75" bestFit="1" customWidth="1"/>
    <col min="2" max="4" width="11.75" bestFit="1" customWidth="1"/>
    <col min="5" max="5" width="12.875" bestFit="1" customWidth="1"/>
    <col min="6" max="6" width="10.75" bestFit="1" customWidth="1"/>
  </cols>
  <sheetData>
    <row r="1" spans="1:6" x14ac:dyDescent="0.5">
      <c r="B1" s="1">
        <v>45291</v>
      </c>
      <c r="C1" s="1">
        <v>44926</v>
      </c>
      <c r="D1" s="1">
        <v>44561</v>
      </c>
      <c r="E1" s="1">
        <v>44196</v>
      </c>
      <c r="F1" s="1"/>
    </row>
    <row r="2" spans="1:6" x14ac:dyDescent="0.5">
      <c r="A2" t="s">
        <v>1018</v>
      </c>
      <c r="B2">
        <v>-350451000</v>
      </c>
      <c r="C2">
        <v>-146850000</v>
      </c>
      <c r="D2">
        <v>-28600000</v>
      </c>
      <c r="E2" s="2">
        <v>-868803590.03125298</v>
      </c>
    </row>
    <row r="3" spans="1:6" x14ac:dyDescent="0.5">
      <c r="A3" t="s">
        <v>1019</v>
      </c>
      <c r="B3">
        <v>0.20699999999999999</v>
      </c>
      <c r="C3">
        <v>0.16500000000000001</v>
      </c>
      <c r="D3">
        <v>0.2</v>
      </c>
      <c r="E3">
        <v>0.242007</v>
      </c>
    </row>
    <row r="4" spans="1:6" x14ac:dyDescent="0.5">
      <c r="A4" t="s">
        <v>1075</v>
      </c>
      <c r="B4">
        <v>-1693000000</v>
      </c>
      <c r="C4">
        <v>-890000000</v>
      </c>
      <c r="D4">
        <v>-143000000</v>
      </c>
      <c r="E4">
        <v>-3590000000</v>
      </c>
    </row>
    <row r="5" spans="1:6" x14ac:dyDescent="0.5">
      <c r="A5" t="s">
        <v>1076</v>
      </c>
      <c r="B5">
        <v>-1693000000</v>
      </c>
      <c r="C5">
        <v>-890000000</v>
      </c>
      <c r="D5">
        <v>-143000000</v>
      </c>
      <c r="E5">
        <v>-3590000000</v>
      </c>
    </row>
    <row r="6" spans="1:6" x14ac:dyDescent="0.5">
      <c r="A6" t="s">
        <v>1020</v>
      </c>
      <c r="B6">
        <v>8516000000</v>
      </c>
      <c r="C6">
        <v>11261000000</v>
      </c>
      <c r="D6">
        <v>21635000000</v>
      </c>
      <c r="E6">
        <v>9459000000</v>
      </c>
    </row>
    <row r="7" spans="1:6" x14ac:dyDescent="0.5">
      <c r="A7" t="s">
        <v>1021</v>
      </c>
      <c r="B7">
        <v>4856000000</v>
      </c>
      <c r="C7">
        <v>2455000000</v>
      </c>
      <c r="D7">
        <v>2015000000</v>
      </c>
      <c r="E7">
        <v>1902000000</v>
      </c>
    </row>
    <row r="8" spans="1:6" x14ac:dyDescent="0.5">
      <c r="A8" t="s">
        <v>1022</v>
      </c>
      <c r="B8">
        <v>6351000000</v>
      </c>
      <c r="C8">
        <v>7678000000</v>
      </c>
      <c r="D8">
        <v>6470000000</v>
      </c>
      <c r="E8">
        <v>4751000000</v>
      </c>
    </row>
    <row r="9" spans="1:6" x14ac:dyDescent="0.5">
      <c r="A9" t="s">
        <v>1023</v>
      </c>
      <c r="B9">
        <v>62164000000</v>
      </c>
      <c r="C9">
        <v>21346000000</v>
      </c>
      <c r="D9">
        <v>5650000000</v>
      </c>
      <c r="E9">
        <v>8938000000</v>
      </c>
    </row>
    <row r="10" spans="1:6" x14ac:dyDescent="0.5">
      <c r="A10" t="s">
        <v>1024</v>
      </c>
      <c r="B10">
        <v>68515000000</v>
      </c>
      <c r="C10">
        <v>29024000000</v>
      </c>
      <c r="D10">
        <v>12120000000</v>
      </c>
      <c r="E10">
        <v>13689000000</v>
      </c>
    </row>
    <row r="11" spans="1:6" x14ac:dyDescent="0.5">
      <c r="A11" t="s">
        <v>1025</v>
      </c>
      <c r="B11">
        <v>9858549000</v>
      </c>
      <c r="C11">
        <v>12004150000</v>
      </c>
      <c r="D11">
        <v>21749400000</v>
      </c>
      <c r="E11" s="2">
        <v>12180196409.9687</v>
      </c>
    </row>
    <row r="12" spans="1:6" x14ac:dyDescent="0.5">
      <c r="A12" t="s">
        <v>1026</v>
      </c>
      <c r="B12">
        <v>8516000000</v>
      </c>
      <c r="C12">
        <v>11261000000</v>
      </c>
      <c r="D12">
        <v>21635000000</v>
      </c>
      <c r="E12">
        <v>9459000000</v>
      </c>
    </row>
    <row r="13" spans="1:6" x14ac:dyDescent="0.5">
      <c r="A13" t="s">
        <v>1027</v>
      </c>
      <c r="B13">
        <v>345800000</v>
      </c>
      <c r="C13">
        <v>358100000</v>
      </c>
      <c r="D13">
        <v>352299996</v>
      </c>
      <c r="E13">
        <v>360299996</v>
      </c>
    </row>
    <row r="14" spans="1:6" x14ac:dyDescent="0.5">
      <c r="A14" t="s">
        <v>1028</v>
      </c>
      <c r="B14">
        <v>340800000</v>
      </c>
      <c r="C14">
        <v>352100000</v>
      </c>
      <c r="D14">
        <v>346599996</v>
      </c>
      <c r="E14">
        <v>356399996</v>
      </c>
    </row>
    <row r="15" spans="1:6" x14ac:dyDescent="0.5">
      <c r="A15" t="s">
        <v>1029</v>
      </c>
      <c r="B15">
        <v>22.87</v>
      </c>
      <c r="C15">
        <v>30.06</v>
      </c>
      <c r="D15" s="2">
        <v>59.450001</v>
      </c>
      <c r="E15">
        <v>24.74</v>
      </c>
    </row>
    <row r="16" spans="1:6" x14ac:dyDescent="0.5">
      <c r="A16" t="s">
        <v>1030</v>
      </c>
      <c r="B16">
        <v>23.05</v>
      </c>
      <c r="C16">
        <v>30.42</v>
      </c>
      <c r="D16" s="2">
        <v>60.250000999999997</v>
      </c>
      <c r="E16">
        <v>24.94</v>
      </c>
    </row>
    <row r="17" spans="1:5" x14ac:dyDescent="0.5">
      <c r="A17" t="s">
        <v>1031</v>
      </c>
      <c r="B17">
        <v>7907000000</v>
      </c>
      <c r="C17">
        <v>10764000000</v>
      </c>
      <c r="D17">
        <v>21151000000</v>
      </c>
      <c r="E17">
        <v>8915000000</v>
      </c>
    </row>
    <row r="18" spans="1:5" x14ac:dyDescent="0.5">
      <c r="A18" t="s">
        <v>1032</v>
      </c>
      <c r="B18">
        <v>7907000000</v>
      </c>
      <c r="C18">
        <v>10764000000</v>
      </c>
      <c r="D18">
        <v>21151000000</v>
      </c>
      <c r="E18">
        <v>8915000000</v>
      </c>
    </row>
    <row r="19" spans="1:5" x14ac:dyDescent="0.5">
      <c r="A19" t="s">
        <v>1084</v>
      </c>
      <c r="B19">
        <v>609000000</v>
      </c>
      <c r="C19">
        <v>497000000</v>
      </c>
      <c r="D19">
        <v>484000000</v>
      </c>
      <c r="E19">
        <v>544000000</v>
      </c>
    </row>
    <row r="20" spans="1:5" x14ac:dyDescent="0.5">
      <c r="A20" t="s">
        <v>1033</v>
      </c>
      <c r="B20">
        <v>8516000000</v>
      </c>
      <c r="C20">
        <v>11261000000</v>
      </c>
      <c r="D20">
        <v>21635000000</v>
      </c>
      <c r="E20">
        <v>9459000000</v>
      </c>
    </row>
    <row r="21" spans="1:5" x14ac:dyDescent="0.5">
      <c r="A21" t="s">
        <v>1034</v>
      </c>
      <c r="B21">
        <v>8516000000</v>
      </c>
      <c r="C21">
        <v>11261000000</v>
      </c>
      <c r="D21">
        <v>21635000000</v>
      </c>
      <c r="E21">
        <v>9459000000</v>
      </c>
    </row>
    <row r="22" spans="1:5" x14ac:dyDescent="0.5">
      <c r="A22" t="s">
        <v>1035</v>
      </c>
      <c r="B22">
        <v>8516000000</v>
      </c>
      <c r="C22">
        <v>11261000000</v>
      </c>
      <c r="D22">
        <v>21635000000</v>
      </c>
      <c r="E22">
        <v>9459000000</v>
      </c>
    </row>
    <row r="23" spans="1:5" x14ac:dyDescent="0.5">
      <c r="A23" t="s">
        <v>1036</v>
      </c>
      <c r="B23">
        <v>2223000000</v>
      </c>
      <c r="C23">
        <v>2225000000</v>
      </c>
      <c r="D23">
        <v>5409000000</v>
      </c>
      <c r="E23">
        <v>3020000000</v>
      </c>
    </row>
    <row r="24" spans="1:5" x14ac:dyDescent="0.5">
      <c r="A24" t="s">
        <v>1037</v>
      </c>
      <c r="B24">
        <v>10739000000</v>
      </c>
      <c r="C24">
        <v>13486000000</v>
      </c>
      <c r="D24">
        <v>27044000000</v>
      </c>
      <c r="E24">
        <v>12479000000</v>
      </c>
    </row>
    <row r="25" spans="1:5" x14ac:dyDescent="0.5">
      <c r="A25" t="s">
        <v>1077</v>
      </c>
      <c r="B25">
        <v>-1693000000</v>
      </c>
      <c r="C25">
        <v>-890000000</v>
      </c>
      <c r="D25">
        <v>-143000000</v>
      </c>
      <c r="E25">
        <v>-3590000000</v>
      </c>
    </row>
    <row r="26" spans="1:5" x14ac:dyDescent="0.5">
      <c r="A26" t="s">
        <v>1085</v>
      </c>
      <c r="B26">
        <v>115000000</v>
      </c>
      <c r="C26">
        <v>576000000</v>
      </c>
      <c r="D26">
        <v>534000000</v>
      </c>
      <c r="E26">
        <v>3420000000</v>
      </c>
    </row>
    <row r="27" spans="1:5" x14ac:dyDescent="0.5">
      <c r="A27" t="s">
        <v>1086</v>
      </c>
      <c r="B27">
        <v>1578000000</v>
      </c>
      <c r="C27">
        <v>314000000</v>
      </c>
      <c r="D27">
        <v>143000000</v>
      </c>
      <c r="E27">
        <v>171000000</v>
      </c>
    </row>
    <row r="28" spans="1:5" x14ac:dyDescent="0.5">
      <c r="A28" t="s">
        <v>1087</v>
      </c>
      <c r="B28">
        <v>0</v>
      </c>
      <c r="C28">
        <v>0</v>
      </c>
      <c r="D28">
        <v>0</v>
      </c>
      <c r="E28">
        <v>0</v>
      </c>
    </row>
    <row r="29" spans="1:5" x14ac:dyDescent="0.5">
      <c r="A29" t="s">
        <v>1088</v>
      </c>
      <c r="B29">
        <v>4856000000</v>
      </c>
      <c r="C29">
        <v>2455000000</v>
      </c>
      <c r="D29">
        <v>2015000000</v>
      </c>
      <c r="E29">
        <v>1902000000</v>
      </c>
    </row>
    <row r="30" spans="1:5" x14ac:dyDescent="0.5">
      <c r="A30" t="s">
        <v>1089</v>
      </c>
      <c r="B30">
        <v>4856000000</v>
      </c>
      <c r="C30">
        <v>2455000000</v>
      </c>
      <c r="D30">
        <v>2015000000</v>
      </c>
      <c r="E30">
        <v>1902000000</v>
      </c>
    </row>
    <row r="31" spans="1:5" x14ac:dyDescent="0.5">
      <c r="A31" t="s">
        <v>1038</v>
      </c>
      <c r="B31">
        <v>16128000000</v>
      </c>
      <c r="C31">
        <v>15960000000</v>
      </c>
      <c r="D31">
        <v>18272000000</v>
      </c>
      <c r="E31">
        <v>13710000000</v>
      </c>
    </row>
    <row r="32" spans="1:5" x14ac:dyDescent="0.5">
      <c r="A32" t="s">
        <v>1108</v>
      </c>
      <c r="B32">
        <v>629000000</v>
      </c>
      <c r="C32">
        <v>812000000</v>
      </c>
      <c r="D32">
        <v>553000000</v>
      </c>
      <c r="E32">
        <v>401000000</v>
      </c>
    </row>
    <row r="33" spans="1:5" x14ac:dyDescent="0.5">
      <c r="A33" t="s">
        <v>1105</v>
      </c>
      <c r="B33">
        <v>15499000000</v>
      </c>
      <c r="C33">
        <v>15148000000</v>
      </c>
      <c r="D33">
        <v>17719000000</v>
      </c>
      <c r="E33">
        <v>13309000000</v>
      </c>
    </row>
    <row r="34" spans="1:5" x14ac:dyDescent="0.5">
      <c r="A34" t="s">
        <v>1106</v>
      </c>
      <c r="E34">
        <v>5488000000</v>
      </c>
    </row>
    <row r="35" spans="1:5" x14ac:dyDescent="0.5">
      <c r="A35" t="s">
        <v>1107</v>
      </c>
      <c r="B35">
        <v>15499000000</v>
      </c>
      <c r="C35">
        <v>15148000000</v>
      </c>
      <c r="D35">
        <v>17719000000</v>
      </c>
      <c r="E35">
        <v>13309000000</v>
      </c>
    </row>
    <row r="36" spans="1:5" x14ac:dyDescent="0.5">
      <c r="A36" t="s">
        <v>1039</v>
      </c>
      <c r="B36">
        <v>46254000000</v>
      </c>
      <c r="C36">
        <v>47365000000</v>
      </c>
      <c r="D36">
        <v>59339000000</v>
      </c>
      <c r="E36">
        <v>44559000000</v>
      </c>
    </row>
    <row r="37" spans="1:5" x14ac:dyDescent="0.5">
      <c r="A37" t="s">
        <v>1040</v>
      </c>
      <c r="B37">
        <v>46254000000</v>
      </c>
      <c r="C37">
        <v>47365000000</v>
      </c>
      <c r="D37">
        <v>59339000000</v>
      </c>
      <c r="E37">
        <v>44559000000</v>
      </c>
    </row>
    <row r="38" spans="1:5" x14ac:dyDescent="0.5">
      <c r="A38" t="s">
        <v>1109</v>
      </c>
      <c r="B38">
        <v>1053000000</v>
      </c>
      <c r="C38">
        <v>1026000000</v>
      </c>
      <c r="D38">
        <v>981000000</v>
      </c>
      <c r="E38">
        <v>960000000</v>
      </c>
    </row>
    <row r="39" spans="1:5" x14ac:dyDescent="0.5">
      <c r="A39" t="s">
        <v>1110</v>
      </c>
      <c r="B39">
        <v>1623000000</v>
      </c>
      <c r="C39">
        <v>1887000000</v>
      </c>
      <c r="D39">
        <v>1648000000</v>
      </c>
      <c r="E39">
        <v>1306000000</v>
      </c>
    </row>
    <row r="40" spans="1:5" x14ac:dyDescent="0.5">
      <c r="A40" t="s">
        <v>1111</v>
      </c>
      <c r="B40">
        <v>9134000000</v>
      </c>
      <c r="C40">
        <v>8946000000</v>
      </c>
      <c r="D40">
        <v>8879000000</v>
      </c>
      <c r="E40">
        <v>7514000000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56033-5837-A845-A334-2FC8591D349C}">
  <sheetPr codeName="Sheet4"/>
  <dimension ref="A1:F60"/>
  <sheetViews>
    <sheetView workbookViewId="0"/>
  </sheetViews>
  <sheetFormatPr defaultColWidth="11" defaultRowHeight="15.75" x14ac:dyDescent="0.5"/>
  <cols>
    <col min="1" max="1" width="38.375" bestFit="1" customWidth="1"/>
    <col min="2" max="5" width="12.375" bestFit="1" customWidth="1"/>
    <col min="6" max="6" width="9.75" bestFit="1" customWidth="1"/>
  </cols>
  <sheetData>
    <row r="1" spans="1:6" x14ac:dyDescent="0.5">
      <c r="B1" s="1">
        <v>45291</v>
      </c>
      <c r="C1" s="1">
        <v>44926</v>
      </c>
      <c r="D1" s="1">
        <v>44561</v>
      </c>
      <c r="E1" s="1">
        <v>44196</v>
      </c>
      <c r="F1" s="1"/>
    </row>
    <row r="2" spans="1:6" x14ac:dyDescent="0.5">
      <c r="A2" t="s">
        <v>1041</v>
      </c>
      <c r="B2">
        <v>599518678</v>
      </c>
      <c r="C2">
        <v>582896393</v>
      </c>
      <c r="D2">
        <v>572857062</v>
      </c>
      <c r="E2">
        <v>557603316</v>
      </c>
    </row>
    <row r="3" spans="1:6" x14ac:dyDescent="0.5">
      <c r="A3" t="s">
        <v>1090</v>
      </c>
      <c r="B3">
        <v>91998000</v>
      </c>
      <c r="C3">
        <v>159998000</v>
      </c>
      <c r="D3">
        <v>159998000</v>
      </c>
      <c r="E3">
        <v>266998000</v>
      </c>
    </row>
    <row r="4" spans="1:6" x14ac:dyDescent="0.5">
      <c r="A4" t="s">
        <v>1042</v>
      </c>
      <c r="B4">
        <v>323376354</v>
      </c>
      <c r="C4">
        <v>334918639</v>
      </c>
      <c r="D4">
        <v>333573254</v>
      </c>
      <c r="E4">
        <v>344088725</v>
      </c>
    </row>
    <row r="5" spans="1:6" x14ac:dyDescent="0.5">
      <c r="A5" t="s">
        <v>1043</v>
      </c>
      <c r="B5">
        <v>922895032</v>
      </c>
      <c r="C5">
        <v>917815032</v>
      </c>
      <c r="D5">
        <v>906430316</v>
      </c>
      <c r="E5">
        <v>901692041</v>
      </c>
    </row>
    <row r="6" spans="1:6" x14ac:dyDescent="0.5">
      <c r="A6" t="s">
        <v>1091</v>
      </c>
      <c r="B6">
        <v>89439000000</v>
      </c>
      <c r="C6">
        <v>80220000000</v>
      </c>
      <c r="D6">
        <v>58555000000</v>
      </c>
      <c r="E6">
        <v>136264000000</v>
      </c>
    </row>
    <row r="7" spans="1:6" x14ac:dyDescent="0.5">
      <c r="A7" t="s">
        <v>1044</v>
      </c>
      <c r="B7">
        <v>333248000000</v>
      </c>
      <c r="C7">
        <v>324199000000</v>
      </c>
      <c r="D7">
        <v>321879000000</v>
      </c>
      <c r="E7">
        <v>294389000000</v>
      </c>
    </row>
    <row r="8" spans="1:6" x14ac:dyDescent="0.5">
      <c r="A8" t="s">
        <v>1045</v>
      </c>
      <c r="B8">
        <v>98609000000</v>
      </c>
      <c r="C8">
        <v>98103000000</v>
      </c>
      <c r="D8">
        <v>94520000000</v>
      </c>
      <c r="E8">
        <v>79767000000</v>
      </c>
    </row>
    <row r="9" spans="1:6" x14ac:dyDescent="0.5">
      <c r="A9" t="s">
        <v>1046</v>
      </c>
      <c r="B9">
        <v>436718000000</v>
      </c>
      <c r="C9">
        <v>428531000000</v>
      </c>
      <c r="D9">
        <v>418814000000</v>
      </c>
      <c r="E9">
        <v>376835000000</v>
      </c>
    </row>
    <row r="10" spans="1:6" x14ac:dyDescent="0.5">
      <c r="A10" t="s">
        <v>1047</v>
      </c>
      <c r="B10">
        <v>109812000000</v>
      </c>
      <c r="C10">
        <v>108806000000</v>
      </c>
      <c r="D10">
        <v>105223000000</v>
      </c>
      <c r="E10">
        <v>90970000000</v>
      </c>
    </row>
    <row r="11" spans="1:6" x14ac:dyDescent="0.5">
      <c r="A11" t="s">
        <v>1048</v>
      </c>
      <c r="B11">
        <v>2232000000</v>
      </c>
      <c r="C11">
        <v>2154000000</v>
      </c>
      <c r="D11">
        <v>2288000000</v>
      </c>
      <c r="E11">
        <v>2283000000</v>
      </c>
    </row>
    <row r="12" spans="1:6" x14ac:dyDescent="0.5">
      <c r="A12" t="s">
        <v>1049</v>
      </c>
      <c r="B12">
        <v>105702000000</v>
      </c>
      <c r="C12">
        <v>106486000000</v>
      </c>
      <c r="D12">
        <v>99223000000</v>
      </c>
      <c r="E12">
        <v>84729000000</v>
      </c>
    </row>
    <row r="13" spans="1:6" x14ac:dyDescent="0.5">
      <c r="A13" t="s">
        <v>1112</v>
      </c>
      <c r="B13">
        <v>11203000000</v>
      </c>
      <c r="C13">
        <v>10703000000</v>
      </c>
      <c r="D13">
        <v>10703000000</v>
      </c>
      <c r="E13">
        <v>11203000000</v>
      </c>
    </row>
    <row r="14" spans="1:6" x14ac:dyDescent="0.5">
      <c r="A14" t="s">
        <v>1050</v>
      </c>
      <c r="B14">
        <v>364772000000</v>
      </c>
      <c r="C14">
        <v>371434000000</v>
      </c>
      <c r="D14">
        <v>373392000000</v>
      </c>
      <c r="E14">
        <v>321950000000</v>
      </c>
    </row>
    <row r="15" spans="1:6" x14ac:dyDescent="0.5">
      <c r="A15" t="s">
        <v>1051</v>
      </c>
      <c r="B15">
        <v>116905000000</v>
      </c>
      <c r="C15">
        <v>117189000000</v>
      </c>
      <c r="D15">
        <v>109926000000</v>
      </c>
      <c r="E15">
        <v>95932000000</v>
      </c>
    </row>
    <row r="16" spans="1:6" x14ac:dyDescent="0.5">
      <c r="A16" t="s">
        <v>1052</v>
      </c>
      <c r="B16">
        <v>116905000000</v>
      </c>
      <c r="C16">
        <v>117189000000</v>
      </c>
      <c r="D16">
        <v>109926000000</v>
      </c>
      <c r="E16">
        <v>95932000000</v>
      </c>
    </row>
    <row r="17" spans="1:5" x14ac:dyDescent="0.5">
      <c r="A17" t="s">
        <v>1113</v>
      </c>
      <c r="B17">
        <v>5121000000</v>
      </c>
      <c r="C17">
        <v>5696000000</v>
      </c>
      <c r="D17">
        <v>4211000000</v>
      </c>
      <c r="E17">
        <v>3468000000</v>
      </c>
    </row>
    <row r="18" spans="1:5" x14ac:dyDescent="0.5">
      <c r="A18" t="s">
        <v>1053</v>
      </c>
      <c r="B18">
        <v>-2918000000</v>
      </c>
      <c r="C18">
        <v>-3010000000</v>
      </c>
      <c r="D18">
        <v>-2068000000</v>
      </c>
      <c r="E18">
        <v>-1434000000</v>
      </c>
    </row>
    <row r="19" spans="1:5" x14ac:dyDescent="0.5">
      <c r="A19" t="s">
        <v>1092</v>
      </c>
      <c r="B19">
        <v>100445000000</v>
      </c>
      <c r="C19">
        <v>94631000000</v>
      </c>
      <c r="D19">
        <v>91136000000</v>
      </c>
      <c r="E19">
        <v>85940000000</v>
      </c>
    </row>
    <row r="20" spans="1:5" x14ac:dyDescent="0.5">
      <c r="A20" t="s">
        <v>1054</v>
      </c>
      <c r="B20">
        <v>143688000000</v>
      </c>
      <c r="C20">
        <v>139372000000</v>
      </c>
      <c r="D20">
        <v>131811000000</v>
      </c>
      <c r="E20">
        <v>112947000000</v>
      </c>
    </row>
    <row r="21" spans="1:5" x14ac:dyDescent="0.5">
      <c r="A21" t="s">
        <v>1078</v>
      </c>
      <c r="B21">
        <v>60247000000</v>
      </c>
      <c r="C21">
        <v>59050000000</v>
      </c>
      <c r="D21">
        <v>56396000000</v>
      </c>
      <c r="E21">
        <v>55679000000</v>
      </c>
    </row>
    <row r="22" spans="1:5" x14ac:dyDescent="0.5">
      <c r="A22" t="s">
        <v>1055</v>
      </c>
      <c r="B22">
        <v>11212000000</v>
      </c>
      <c r="C22">
        <v>10712000000</v>
      </c>
      <c r="D22">
        <v>10712000000</v>
      </c>
      <c r="E22">
        <v>11212000000</v>
      </c>
    </row>
    <row r="23" spans="1:5" x14ac:dyDescent="0.5">
      <c r="A23" t="s">
        <v>1056</v>
      </c>
      <c r="B23">
        <v>9000000</v>
      </c>
      <c r="C23">
        <v>9000000</v>
      </c>
      <c r="D23">
        <v>9000000</v>
      </c>
      <c r="E23">
        <v>9000000</v>
      </c>
    </row>
    <row r="24" spans="1:5" x14ac:dyDescent="0.5">
      <c r="A24" t="s">
        <v>1093</v>
      </c>
      <c r="B24">
        <v>11203000000</v>
      </c>
      <c r="C24">
        <v>10703000000</v>
      </c>
      <c r="D24">
        <v>10703000000</v>
      </c>
      <c r="E24">
        <v>11203000000</v>
      </c>
    </row>
    <row r="25" spans="1:5" x14ac:dyDescent="0.5">
      <c r="A25" t="s">
        <v>1057</v>
      </c>
      <c r="B25">
        <v>1524689000000</v>
      </c>
      <c r="C25">
        <v>1324610000000</v>
      </c>
      <c r="D25">
        <v>1354062000000</v>
      </c>
      <c r="E25">
        <v>1067096000000</v>
      </c>
    </row>
    <row r="26" spans="1:5" x14ac:dyDescent="0.5">
      <c r="A26" t="s">
        <v>1102</v>
      </c>
      <c r="B26">
        <v>363000000</v>
      </c>
      <c r="C26">
        <v>649000000</v>
      </c>
      <c r="D26">
        <v>840000000</v>
      </c>
      <c r="E26">
        <v>1640000000</v>
      </c>
    </row>
    <row r="27" spans="1:5" x14ac:dyDescent="0.5">
      <c r="A27" t="s">
        <v>1094</v>
      </c>
      <c r="B27">
        <v>56754000000</v>
      </c>
      <c r="C27">
        <v>54735000000</v>
      </c>
      <c r="D27">
        <v>51953000000</v>
      </c>
      <c r="E27">
        <v>58591000000</v>
      </c>
    </row>
    <row r="28" spans="1:5" x14ac:dyDescent="0.5">
      <c r="A28" t="s">
        <v>1103</v>
      </c>
      <c r="B28">
        <v>7823000000</v>
      </c>
      <c r="C28">
        <v>7250000000</v>
      </c>
      <c r="D28">
        <v>10867000000</v>
      </c>
      <c r="E28">
        <v>7930000000</v>
      </c>
    </row>
    <row r="29" spans="1:5" x14ac:dyDescent="0.5">
      <c r="A29" t="s">
        <v>1058</v>
      </c>
      <c r="B29">
        <v>250099000000</v>
      </c>
      <c r="C29">
        <v>256399000000</v>
      </c>
      <c r="D29">
        <v>265754000000</v>
      </c>
      <c r="E29">
        <v>228301000000</v>
      </c>
    </row>
    <row r="30" spans="1:5" x14ac:dyDescent="0.5">
      <c r="A30" t="s">
        <v>1059</v>
      </c>
      <c r="B30">
        <v>2232000000</v>
      </c>
      <c r="C30">
        <v>2154000000</v>
      </c>
      <c r="D30">
        <v>2288000000</v>
      </c>
      <c r="E30">
        <v>2283000000</v>
      </c>
    </row>
    <row r="31" spans="1:5" x14ac:dyDescent="0.5">
      <c r="A31" t="s">
        <v>1060</v>
      </c>
      <c r="B31">
        <v>247867000000</v>
      </c>
      <c r="C31">
        <v>254245000000</v>
      </c>
      <c r="D31">
        <v>263466000000</v>
      </c>
      <c r="E31">
        <v>226018000000</v>
      </c>
    </row>
    <row r="32" spans="1:5" x14ac:dyDescent="0.5">
      <c r="A32" t="s">
        <v>1061</v>
      </c>
      <c r="B32">
        <v>83149000000</v>
      </c>
      <c r="C32">
        <v>67800000000</v>
      </c>
      <c r="D32">
        <v>56125000000</v>
      </c>
      <c r="E32">
        <v>66088000000</v>
      </c>
    </row>
    <row r="33" spans="1:5" x14ac:dyDescent="0.5">
      <c r="A33" t="s">
        <v>1062</v>
      </c>
      <c r="B33">
        <v>83149000000</v>
      </c>
      <c r="C33">
        <v>67800000000</v>
      </c>
      <c r="D33">
        <v>56125000000</v>
      </c>
      <c r="E33">
        <v>66088000000</v>
      </c>
    </row>
    <row r="34" spans="1:5" x14ac:dyDescent="0.5">
      <c r="A34" t="s">
        <v>1096</v>
      </c>
      <c r="B34">
        <v>81936000000</v>
      </c>
      <c r="C34">
        <v>66082000000</v>
      </c>
      <c r="D34">
        <v>49395000000</v>
      </c>
      <c r="E34">
        <v>60003000000</v>
      </c>
    </row>
    <row r="35" spans="1:5" x14ac:dyDescent="0.5">
      <c r="A35" t="s">
        <v>1097</v>
      </c>
      <c r="B35">
        <v>1213000000</v>
      </c>
      <c r="C35">
        <v>1718000000</v>
      </c>
      <c r="D35">
        <v>6730000000</v>
      </c>
      <c r="E35">
        <v>6085000000</v>
      </c>
    </row>
    <row r="36" spans="1:5" x14ac:dyDescent="0.5">
      <c r="A36" t="s">
        <v>1063</v>
      </c>
      <c r="B36">
        <v>244113000000</v>
      </c>
      <c r="C36">
        <v>273447000000</v>
      </c>
      <c r="D36">
        <v>262437000000</v>
      </c>
      <c r="E36">
        <v>201256000000</v>
      </c>
    </row>
    <row r="37" spans="1:5" x14ac:dyDescent="0.5">
      <c r="A37" t="s">
        <v>1079</v>
      </c>
      <c r="B37">
        <v>10438000000</v>
      </c>
      <c r="C37">
        <v>8733000000</v>
      </c>
      <c r="D37">
        <v>8146000000</v>
      </c>
      <c r="E37">
        <v>7443000000</v>
      </c>
    </row>
    <row r="38" spans="1:5" x14ac:dyDescent="0.5">
      <c r="A38" t="s">
        <v>1064</v>
      </c>
      <c r="B38">
        <v>233675000000</v>
      </c>
      <c r="C38">
        <v>264714000000</v>
      </c>
      <c r="D38">
        <v>254291000000</v>
      </c>
      <c r="E38">
        <v>193813000000</v>
      </c>
    </row>
    <row r="39" spans="1:5" x14ac:dyDescent="0.5">
      <c r="A39" t="s">
        <v>1065</v>
      </c>
      <c r="B39">
        <v>2947000000</v>
      </c>
      <c r="C39">
        <v>2669000000</v>
      </c>
      <c r="D39">
        <v>2360000000</v>
      </c>
      <c r="E39">
        <v>3155000000</v>
      </c>
    </row>
    <row r="40" spans="1:5" x14ac:dyDescent="0.5">
      <c r="A40" t="s">
        <v>1098</v>
      </c>
      <c r="B40">
        <v>2947000000</v>
      </c>
      <c r="C40">
        <v>2669000000</v>
      </c>
      <c r="D40">
        <v>2360000000</v>
      </c>
      <c r="E40">
        <v>3155000000</v>
      </c>
    </row>
    <row r="41" spans="1:5" x14ac:dyDescent="0.5">
      <c r="A41" t="s">
        <v>1066</v>
      </c>
      <c r="B41">
        <v>230728000000</v>
      </c>
      <c r="C41">
        <v>262045000000</v>
      </c>
      <c r="D41">
        <v>251931000000</v>
      </c>
      <c r="E41">
        <v>190658000000</v>
      </c>
    </row>
    <row r="42" spans="1:5" x14ac:dyDescent="0.5">
      <c r="A42" t="s">
        <v>1067</v>
      </c>
      <c r="B42">
        <v>1641594000000</v>
      </c>
      <c r="C42">
        <v>1441799000000</v>
      </c>
      <c r="D42">
        <v>1463988000000</v>
      </c>
      <c r="E42">
        <v>1163028000000</v>
      </c>
    </row>
    <row r="43" spans="1:5" x14ac:dyDescent="0.5">
      <c r="A43" t="s">
        <v>1095</v>
      </c>
      <c r="B43">
        <v>573229000000</v>
      </c>
      <c r="C43">
        <v>372461000000</v>
      </c>
      <c r="D43">
        <v>400675000000</v>
      </c>
      <c r="E43">
        <v>412494000000</v>
      </c>
    </row>
    <row r="44" spans="1:5" x14ac:dyDescent="0.5">
      <c r="A44" t="s">
        <v>1114</v>
      </c>
      <c r="B44">
        <v>56835000000</v>
      </c>
      <c r="C44">
        <v>46343000000</v>
      </c>
      <c r="D44">
        <v>4699000000</v>
      </c>
      <c r="E44">
        <v>4800000000</v>
      </c>
    </row>
    <row r="45" spans="1:5" x14ac:dyDescent="0.5">
      <c r="A45" t="s">
        <v>1099</v>
      </c>
      <c r="B45">
        <v>56069000000</v>
      </c>
      <c r="C45">
        <v>70340000000</v>
      </c>
      <c r="D45">
        <v>83402000000</v>
      </c>
      <c r="E45">
        <v>82753000000</v>
      </c>
    </row>
    <row r="46" spans="1:5" x14ac:dyDescent="0.5">
      <c r="A46" t="s">
        <v>1115</v>
      </c>
      <c r="B46">
        <v>426390000000</v>
      </c>
      <c r="C46">
        <v>241832000000</v>
      </c>
      <c r="D46">
        <v>311956000000</v>
      </c>
      <c r="E46">
        <v>324049000000</v>
      </c>
    </row>
    <row r="47" spans="1:5" x14ac:dyDescent="0.5">
      <c r="A47" t="s">
        <v>1104</v>
      </c>
      <c r="B47">
        <v>762000000</v>
      </c>
      <c r="C47">
        <v>766000000</v>
      </c>
      <c r="D47">
        <v>593000000</v>
      </c>
      <c r="E47">
        <v>366000000</v>
      </c>
    </row>
    <row r="48" spans="1:5" x14ac:dyDescent="0.5">
      <c r="A48" t="s">
        <v>1080</v>
      </c>
      <c r="B48">
        <v>7093000000</v>
      </c>
      <c r="C48">
        <v>8383000000</v>
      </c>
      <c r="D48">
        <v>4703000000</v>
      </c>
      <c r="E48">
        <v>4962000000</v>
      </c>
    </row>
    <row r="49" spans="1:5" x14ac:dyDescent="0.5">
      <c r="A49" t="s">
        <v>1081</v>
      </c>
      <c r="B49">
        <v>1177000000</v>
      </c>
      <c r="C49">
        <v>2009000000</v>
      </c>
      <c r="D49">
        <v>418000000</v>
      </c>
      <c r="E49">
        <v>630000000</v>
      </c>
    </row>
    <row r="50" spans="1:5" x14ac:dyDescent="0.5">
      <c r="A50" t="s">
        <v>1082</v>
      </c>
      <c r="B50">
        <v>5916000000</v>
      </c>
      <c r="C50">
        <v>6374000000</v>
      </c>
      <c r="D50">
        <v>4285000000</v>
      </c>
      <c r="E50">
        <v>4332000000</v>
      </c>
    </row>
    <row r="51" spans="1:5" x14ac:dyDescent="0.5">
      <c r="A51" t="s">
        <v>1068</v>
      </c>
      <c r="B51">
        <v>13415000000</v>
      </c>
      <c r="C51">
        <v>19246000000</v>
      </c>
      <c r="D51">
        <v>20386000000</v>
      </c>
      <c r="E51">
        <v>25427000000</v>
      </c>
    </row>
    <row r="52" spans="1:5" x14ac:dyDescent="0.5">
      <c r="A52" t="s">
        <v>1069</v>
      </c>
      <c r="B52">
        <v>-13640000000</v>
      </c>
      <c r="C52">
        <v>-12190000000</v>
      </c>
      <c r="D52">
        <v>-10180000000</v>
      </c>
      <c r="E52">
        <v>-10120000000</v>
      </c>
    </row>
    <row r="53" spans="1:5" x14ac:dyDescent="0.5">
      <c r="A53" t="s">
        <v>1070</v>
      </c>
      <c r="B53">
        <v>27055000000</v>
      </c>
      <c r="C53">
        <v>31436000000</v>
      </c>
      <c r="D53">
        <v>30566000000</v>
      </c>
      <c r="E53">
        <v>35547000000</v>
      </c>
    </row>
    <row r="54" spans="1:5" x14ac:dyDescent="0.5">
      <c r="A54" t="s">
        <v>1071</v>
      </c>
      <c r="B54">
        <v>27055000000</v>
      </c>
      <c r="C54">
        <v>31436000000</v>
      </c>
      <c r="D54">
        <v>30566000000</v>
      </c>
      <c r="E54">
        <v>35547000000</v>
      </c>
    </row>
    <row r="55" spans="1:5" x14ac:dyDescent="0.5">
      <c r="A55" t="s">
        <v>1072</v>
      </c>
      <c r="B55">
        <v>148577000000</v>
      </c>
      <c r="C55">
        <v>147027000000</v>
      </c>
      <c r="D55">
        <v>170192000000</v>
      </c>
      <c r="E55">
        <v>128387000000</v>
      </c>
    </row>
    <row r="56" spans="1:5" x14ac:dyDescent="0.5">
      <c r="A56" t="s">
        <v>1100</v>
      </c>
      <c r="B56">
        <v>16082000000</v>
      </c>
      <c r="C56">
        <v>11579000000</v>
      </c>
      <c r="D56">
        <v>9519000000</v>
      </c>
      <c r="E56">
        <v>7056000000</v>
      </c>
    </row>
    <row r="57" spans="1:5" x14ac:dyDescent="0.5">
      <c r="A57" t="s">
        <v>1073</v>
      </c>
      <c r="B57">
        <v>132495000000</v>
      </c>
      <c r="C57">
        <v>135448000000</v>
      </c>
      <c r="D57">
        <v>160673000000</v>
      </c>
      <c r="E57">
        <v>121331000000</v>
      </c>
    </row>
    <row r="58" spans="1:5" x14ac:dyDescent="0.5">
      <c r="A58" t="s">
        <v>1101</v>
      </c>
      <c r="B58">
        <v>33173000000</v>
      </c>
      <c r="C58">
        <v>13180000000</v>
      </c>
      <c r="D58">
        <v>25000000</v>
      </c>
      <c r="E58">
        <v>526000000</v>
      </c>
    </row>
    <row r="59" spans="1:5" x14ac:dyDescent="0.5">
      <c r="A59" t="s">
        <v>1074</v>
      </c>
      <c r="B59">
        <v>241577000000</v>
      </c>
      <c r="C59">
        <v>241825000000</v>
      </c>
      <c r="D59">
        <v>261036000000</v>
      </c>
      <c r="E59">
        <v>155842000000</v>
      </c>
    </row>
    <row r="60" spans="1:5" x14ac:dyDescent="0.5">
      <c r="A60" t="s">
        <v>1116</v>
      </c>
      <c r="B60">
        <v>465382000000</v>
      </c>
      <c r="C60">
        <v>466942000000</v>
      </c>
      <c r="D60">
        <v>466739000000</v>
      </c>
      <c r="E60">
        <v>263902000000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87A2DB-4CE6-A747-8E29-B4F477ECD4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354</vt:i4>
      </vt:variant>
    </vt:vector>
  </HeadingPairs>
  <TitlesOfParts>
    <vt:vector size="362" baseType="lpstr">
      <vt:lpstr>MAIN</vt:lpstr>
      <vt:lpstr>PORTFOLIO</vt:lpstr>
      <vt:lpstr>PORTFOLIO DATA</vt:lpstr>
      <vt:lpstr>sp500</vt:lpstr>
      <vt:lpstr>PRICE SP500</vt:lpstr>
      <vt:lpstr>PRICE DATA</vt:lpstr>
      <vt:lpstr>FINANCIALS</vt:lpstr>
      <vt:lpstr>BALANCE SHEET</vt:lpstr>
      <vt:lpstr>'BALANCE SHEET'!ExternalData_1</vt:lpstr>
      <vt:lpstr>FINANCIALS!ExternalData_1</vt:lpstr>
      <vt:lpstr>'PRICE DATA'!ExternalData_1</vt:lpstr>
      <vt:lpstr>'PRICE SP500'!ExternalData_1</vt:lpstr>
      <vt:lpstr>'BALANCE SHEET'!ExternalData_10</vt:lpstr>
      <vt:lpstr>FINANCIALS!ExternalData_10</vt:lpstr>
      <vt:lpstr>'PORTFOLIO DATA'!ExternalData_10</vt:lpstr>
      <vt:lpstr>'PRICE DATA'!ExternalData_10</vt:lpstr>
      <vt:lpstr>'PRICE SP500'!ExternalData_10</vt:lpstr>
      <vt:lpstr>'PRICE DATA'!ExternalData_100</vt:lpstr>
      <vt:lpstr>'PRICE DATA'!ExternalData_101</vt:lpstr>
      <vt:lpstr>'PRICE DATA'!ExternalData_102</vt:lpstr>
      <vt:lpstr>'PRICE DATA'!ExternalData_103</vt:lpstr>
      <vt:lpstr>'PRICE DATA'!ExternalData_104</vt:lpstr>
      <vt:lpstr>'PRICE DATA'!ExternalData_105</vt:lpstr>
      <vt:lpstr>'PRICE DATA'!ExternalData_106</vt:lpstr>
      <vt:lpstr>'PRICE DATA'!ExternalData_107</vt:lpstr>
      <vt:lpstr>'PRICE DATA'!ExternalData_108</vt:lpstr>
      <vt:lpstr>'PRICE DATA'!ExternalData_109</vt:lpstr>
      <vt:lpstr>'BALANCE SHEET'!ExternalData_11</vt:lpstr>
      <vt:lpstr>FINANCIALS!ExternalData_11</vt:lpstr>
      <vt:lpstr>'PORTFOLIO DATA'!ExternalData_11</vt:lpstr>
      <vt:lpstr>'PRICE SP500'!ExternalData_11</vt:lpstr>
      <vt:lpstr>'PRICE DATA'!ExternalData_110</vt:lpstr>
      <vt:lpstr>'PRICE DATA'!ExternalData_111</vt:lpstr>
      <vt:lpstr>'PRICE DATA'!ExternalData_112</vt:lpstr>
      <vt:lpstr>'PRICE DATA'!ExternalData_113</vt:lpstr>
      <vt:lpstr>'PRICE DATA'!ExternalData_114</vt:lpstr>
      <vt:lpstr>'PRICE DATA'!ExternalData_115</vt:lpstr>
      <vt:lpstr>'PRICE DATA'!ExternalData_116</vt:lpstr>
      <vt:lpstr>'PRICE DATA'!ExternalData_117</vt:lpstr>
      <vt:lpstr>'PRICE DATA'!ExternalData_118</vt:lpstr>
      <vt:lpstr>'PRICE DATA'!ExternalData_119</vt:lpstr>
      <vt:lpstr>'BALANCE SHEET'!ExternalData_12</vt:lpstr>
      <vt:lpstr>FINANCIALS!ExternalData_12</vt:lpstr>
      <vt:lpstr>'PORTFOLIO DATA'!ExternalData_12</vt:lpstr>
      <vt:lpstr>'PRICE SP500'!ExternalData_12</vt:lpstr>
      <vt:lpstr>'PRICE DATA'!ExternalData_120</vt:lpstr>
      <vt:lpstr>'PRICE DATA'!ExternalData_121</vt:lpstr>
      <vt:lpstr>'PRICE DATA'!ExternalData_122</vt:lpstr>
      <vt:lpstr>'PRICE DATA'!ExternalData_123</vt:lpstr>
      <vt:lpstr>'PRICE DATA'!ExternalData_124</vt:lpstr>
      <vt:lpstr>'PRICE DATA'!ExternalData_125</vt:lpstr>
      <vt:lpstr>'PRICE DATA'!ExternalData_126</vt:lpstr>
      <vt:lpstr>'PRICE DATA'!ExternalData_127</vt:lpstr>
      <vt:lpstr>'PRICE DATA'!ExternalData_128</vt:lpstr>
      <vt:lpstr>'PRICE DATA'!ExternalData_129</vt:lpstr>
      <vt:lpstr>'BALANCE SHEET'!ExternalData_13</vt:lpstr>
      <vt:lpstr>FINANCIALS!ExternalData_13</vt:lpstr>
      <vt:lpstr>'PORTFOLIO DATA'!ExternalData_13</vt:lpstr>
      <vt:lpstr>'PRICE DATA'!ExternalData_13</vt:lpstr>
      <vt:lpstr>'PRICE SP500'!ExternalData_13</vt:lpstr>
      <vt:lpstr>'PRICE DATA'!ExternalData_130</vt:lpstr>
      <vt:lpstr>'PRICE DATA'!ExternalData_131</vt:lpstr>
      <vt:lpstr>'PRICE DATA'!ExternalData_132</vt:lpstr>
      <vt:lpstr>'PRICE DATA'!ExternalData_133</vt:lpstr>
      <vt:lpstr>'PRICE DATA'!ExternalData_134</vt:lpstr>
      <vt:lpstr>'PRICE DATA'!ExternalData_135</vt:lpstr>
      <vt:lpstr>'PRICE DATA'!ExternalData_136</vt:lpstr>
      <vt:lpstr>'PRICE DATA'!ExternalData_137</vt:lpstr>
      <vt:lpstr>'PRICE DATA'!ExternalData_138</vt:lpstr>
      <vt:lpstr>'PRICE DATA'!ExternalData_139</vt:lpstr>
      <vt:lpstr>'BALANCE SHEET'!ExternalData_14</vt:lpstr>
      <vt:lpstr>FINANCIALS!ExternalData_14</vt:lpstr>
      <vt:lpstr>'PORTFOLIO DATA'!ExternalData_14</vt:lpstr>
      <vt:lpstr>'PRICE SP500'!ExternalData_14</vt:lpstr>
      <vt:lpstr>'PRICE DATA'!ExternalData_140</vt:lpstr>
      <vt:lpstr>'PRICE DATA'!ExternalData_141</vt:lpstr>
      <vt:lpstr>'PRICE DATA'!ExternalData_142</vt:lpstr>
      <vt:lpstr>'PRICE DATA'!ExternalData_143</vt:lpstr>
      <vt:lpstr>'PRICE DATA'!ExternalData_144</vt:lpstr>
      <vt:lpstr>'BALANCE SHEET'!ExternalData_15</vt:lpstr>
      <vt:lpstr>FINANCIALS!ExternalData_15</vt:lpstr>
      <vt:lpstr>'PORTFOLIO DATA'!ExternalData_15</vt:lpstr>
      <vt:lpstr>'PRICE DATA'!ExternalData_15</vt:lpstr>
      <vt:lpstr>'PRICE SP500'!ExternalData_15</vt:lpstr>
      <vt:lpstr>'BALANCE SHEET'!ExternalData_16</vt:lpstr>
      <vt:lpstr>FINANCIALS!ExternalData_16</vt:lpstr>
      <vt:lpstr>'PORTFOLIO DATA'!ExternalData_16</vt:lpstr>
      <vt:lpstr>'PRICE SP500'!ExternalData_16</vt:lpstr>
      <vt:lpstr>'BALANCE SHEET'!ExternalData_17</vt:lpstr>
      <vt:lpstr>FINANCIALS!ExternalData_17</vt:lpstr>
      <vt:lpstr>'PORTFOLIO DATA'!ExternalData_17</vt:lpstr>
      <vt:lpstr>'PRICE SP500'!ExternalData_17</vt:lpstr>
      <vt:lpstr>'BALANCE SHEET'!ExternalData_18</vt:lpstr>
      <vt:lpstr>FINANCIALS!ExternalData_18</vt:lpstr>
      <vt:lpstr>'PORTFOLIO DATA'!ExternalData_18</vt:lpstr>
      <vt:lpstr>'PRICE DATA'!ExternalData_18</vt:lpstr>
      <vt:lpstr>'PRICE SP500'!ExternalData_18</vt:lpstr>
      <vt:lpstr>'BALANCE SHEET'!ExternalData_19</vt:lpstr>
      <vt:lpstr>FINANCIALS!ExternalData_19</vt:lpstr>
      <vt:lpstr>'PORTFOLIO DATA'!ExternalData_19</vt:lpstr>
      <vt:lpstr>'PRICE DATA'!ExternalData_19</vt:lpstr>
      <vt:lpstr>'PRICE SP500'!ExternalData_19</vt:lpstr>
      <vt:lpstr>'BALANCE SHEET'!ExternalData_2</vt:lpstr>
      <vt:lpstr>FINANCIALS!ExternalData_2</vt:lpstr>
      <vt:lpstr>'PORTFOLIO DATA'!ExternalData_2</vt:lpstr>
      <vt:lpstr>'PRICE DATA'!ExternalData_2</vt:lpstr>
      <vt:lpstr>'PRICE SP500'!ExternalData_2</vt:lpstr>
      <vt:lpstr>'BALANCE SHEET'!ExternalData_20</vt:lpstr>
      <vt:lpstr>FINANCIALS!ExternalData_20</vt:lpstr>
      <vt:lpstr>'PORTFOLIO DATA'!ExternalData_20</vt:lpstr>
      <vt:lpstr>'PRICE SP500'!ExternalData_20</vt:lpstr>
      <vt:lpstr>'BALANCE SHEET'!ExternalData_21</vt:lpstr>
      <vt:lpstr>FINANCIALS!ExternalData_21</vt:lpstr>
      <vt:lpstr>'PORTFOLIO DATA'!ExternalData_21</vt:lpstr>
      <vt:lpstr>'PRICE SP500'!ExternalData_21</vt:lpstr>
      <vt:lpstr>'BALANCE SHEET'!ExternalData_22</vt:lpstr>
      <vt:lpstr>FINANCIALS!ExternalData_22</vt:lpstr>
      <vt:lpstr>'PORTFOLIO DATA'!ExternalData_22</vt:lpstr>
      <vt:lpstr>'PRICE DATA'!ExternalData_22</vt:lpstr>
      <vt:lpstr>'PRICE SP500'!ExternalData_22</vt:lpstr>
      <vt:lpstr>'BALANCE SHEET'!ExternalData_23</vt:lpstr>
      <vt:lpstr>FINANCIALS!ExternalData_23</vt:lpstr>
      <vt:lpstr>'PORTFOLIO DATA'!ExternalData_23</vt:lpstr>
      <vt:lpstr>'PRICE SP500'!ExternalData_23</vt:lpstr>
      <vt:lpstr>'BALANCE SHEET'!ExternalData_24</vt:lpstr>
      <vt:lpstr>FINANCIALS!ExternalData_24</vt:lpstr>
      <vt:lpstr>'PORTFOLIO DATA'!ExternalData_24</vt:lpstr>
      <vt:lpstr>'PRICE DATA'!ExternalData_24</vt:lpstr>
      <vt:lpstr>'PRICE SP500'!ExternalData_24</vt:lpstr>
      <vt:lpstr>'BALANCE SHEET'!ExternalData_25</vt:lpstr>
      <vt:lpstr>FINANCIALS!ExternalData_25</vt:lpstr>
      <vt:lpstr>'PORTFOLIO DATA'!ExternalData_25</vt:lpstr>
      <vt:lpstr>'PRICE SP500'!ExternalData_25</vt:lpstr>
      <vt:lpstr>'BALANCE SHEET'!ExternalData_26</vt:lpstr>
      <vt:lpstr>FINANCIALS!ExternalData_26</vt:lpstr>
      <vt:lpstr>'PORTFOLIO DATA'!ExternalData_26</vt:lpstr>
      <vt:lpstr>'PRICE DATA'!ExternalData_26</vt:lpstr>
      <vt:lpstr>'PRICE SP500'!ExternalData_26</vt:lpstr>
      <vt:lpstr>'BALANCE SHEET'!ExternalData_27</vt:lpstr>
      <vt:lpstr>FINANCIALS!ExternalData_27</vt:lpstr>
      <vt:lpstr>'PORTFOLIO DATA'!ExternalData_27</vt:lpstr>
      <vt:lpstr>'PRICE SP500'!ExternalData_27</vt:lpstr>
      <vt:lpstr>'BALANCE SHEET'!ExternalData_28</vt:lpstr>
      <vt:lpstr>FINANCIALS!ExternalData_28</vt:lpstr>
      <vt:lpstr>'PORTFOLIO DATA'!ExternalData_28</vt:lpstr>
      <vt:lpstr>'PRICE DATA'!ExternalData_28</vt:lpstr>
      <vt:lpstr>'PRICE SP500'!ExternalData_28</vt:lpstr>
      <vt:lpstr>'BALANCE SHEET'!ExternalData_29</vt:lpstr>
      <vt:lpstr>FINANCIALS!ExternalData_29</vt:lpstr>
      <vt:lpstr>'PORTFOLIO DATA'!ExternalData_29</vt:lpstr>
      <vt:lpstr>'PRICE SP500'!ExternalData_29</vt:lpstr>
      <vt:lpstr>'BALANCE SHEET'!ExternalData_3</vt:lpstr>
      <vt:lpstr>FINANCIALS!ExternalData_3</vt:lpstr>
      <vt:lpstr>'PORTFOLIO DATA'!ExternalData_3</vt:lpstr>
      <vt:lpstr>'PRICE DATA'!ExternalData_3</vt:lpstr>
      <vt:lpstr>'PRICE SP500'!ExternalData_3</vt:lpstr>
      <vt:lpstr>'BALANCE SHEET'!ExternalData_30</vt:lpstr>
      <vt:lpstr>FINANCIALS!ExternalData_30</vt:lpstr>
      <vt:lpstr>'PORTFOLIO DATA'!ExternalData_30</vt:lpstr>
      <vt:lpstr>'PRICE DATA'!ExternalData_30</vt:lpstr>
      <vt:lpstr>'PRICE SP500'!ExternalData_30</vt:lpstr>
      <vt:lpstr>'BALANCE SHEET'!ExternalData_31</vt:lpstr>
      <vt:lpstr>FINANCIALS!ExternalData_31</vt:lpstr>
      <vt:lpstr>'PORTFOLIO DATA'!ExternalData_31</vt:lpstr>
      <vt:lpstr>'PRICE DATA'!ExternalData_31</vt:lpstr>
      <vt:lpstr>'PRICE SP500'!ExternalData_31</vt:lpstr>
      <vt:lpstr>'BALANCE SHEET'!ExternalData_32</vt:lpstr>
      <vt:lpstr>FINANCIALS!ExternalData_32</vt:lpstr>
      <vt:lpstr>'PORTFOLIO DATA'!ExternalData_32</vt:lpstr>
      <vt:lpstr>'PRICE SP500'!ExternalData_32</vt:lpstr>
      <vt:lpstr>'BALANCE SHEET'!ExternalData_33</vt:lpstr>
      <vt:lpstr>FINANCIALS!ExternalData_33</vt:lpstr>
      <vt:lpstr>'PORTFOLIO DATA'!ExternalData_33</vt:lpstr>
      <vt:lpstr>'PRICE SP500'!ExternalData_33</vt:lpstr>
      <vt:lpstr>'BALANCE SHEET'!ExternalData_34</vt:lpstr>
      <vt:lpstr>FINANCIALS!ExternalData_34</vt:lpstr>
      <vt:lpstr>'PORTFOLIO DATA'!ExternalData_34</vt:lpstr>
      <vt:lpstr>'PRICE SP500'!ExternalData_34</vt:lpstr>
      <vt:lpstr>'BALANCE SHEET'!ExternalData_35</vt:lpstr>
      <vt:lpstr>FINANCIALS!ExternalData_35</vt:lpstr>
      <vt:lpstr>'PORTFOLIO DATA'!ExternalData_35</vt:lpstr>
      <vt:lpstr>'PRICE SP500'!ExternalData_35</vt:lpstr>
      <vt:lpstr>'BALANCE SHEET'!ExternalData_36</vt:lpstr>
      <vt:lpstr>FINANCIALS!ExternalData_36</vt:lpstr>
      <vt:lpstr>'PORTFOLIO DATA'!ExternalData_36</vt:lpstr>
      <vt:lpstr>'PRICE SP500'!ExternalData_36</vt:lpstr>
      <vt:lpstr>'BALANCE SHEET'!ExternalData_37</vt:lpstr>
      <vt:lpstr>FINANCIALS!ExternalData_37</vt:lpstr>
      <vt:lpstr>'PORTFOLIO DATA'!ExternalData_37</vt:lpstr>
      <vt:lpstr>'PRICE SP500'!ExternalData_37</vt:lpstr>
      <vt:lpstr>'BALANCE SHEET'!ExternalData_38</vt:lpstr>
      <vt:lpstr>FINANCIALS!ExternalData_38</vt:lpstr>
      <vt:lpstr>'PORTFOLIO DATA'!ExternalData_38</vt:lpstr>
      <vt:lpstr>'PRICE SP500'!ExternalData_38</vt:lpstr>
      <vt:lpstr>'BALANCE SHEET'!ExternalData_39</vt:lpstr>
      <vt:lpstr>FINANCIALS!ExternalData_39</vt:lpstr>
      <vt:lpstr>'PORTFOLIO DATA'!ExternalData_39</vt:lpstr>
      <vt:lpstr>'PRICE SP500'!ExternalData_39</vt:lpstr>
      <vt:lpstr>'BALANCE SHEET'!ExternalData_4</vt:lpstr>
      <vt:lpstr>FINANCIALS!ExternalData_4</vt:lpstr>
      <vt:lpstr>'PORTFOLIO DATA'!ExternalData_4</vt:lpstr>
      <vt:lpstr>'PRICE DATA'!ExternalData_4</vt:lpstr>
      <vt:lpstr>'PRICE SP500'!ExternalData_4</vt:lpstr>
      <vt:lpstr>'BALANCE SHEET'!ExternalData_40</vt:lpstr>
      <vt:lpstr>FINANCIALS!ExternalData_40</vt:lpstr>
      <vt:lpstr>'PORTFOLIO DATA'!ExternalData_40</vt:lpstr>
      <vt:lpstr>'PRICE SP500'!ExternalData_40</vt:lpstr>
      <vt:lpstr>'BALANCE SHEET'!ExternalData_41</vt:lpstr>
      <vt:lpstr>FINANCIALS!ExternalData_41</vt:lpstr>
      <vt:lpstr>'PORTFOLIO DATA'!ExternalData_41</vt:lpstr>
      <vt:lpstr>'PRICE SP500'!ExternalData_41</vt:lpstr>
      <vt:lpstr>'BALANCE SHEET'!ExternalData_42</vt:lpstr>
      <vt:lpstr>FINANCIALS!ExternalData_42</vt:lpstr>
      <vt:lpstr>'PORTFOLIO DATA'!ExternalData_42</vt:lpstr>
      <vt:lpstr>'PRICE SP500'!ExternalData_42</vt:lpstr>
      <vt:lpstr>'BALANCE SHEET'!ExternalData_43</vt:lpstr>
      <vt:lpstr>FINANCIALS!ExternalData_43</vt:lpstr>
      <vt:lpstr>'PRICE SP500'!ExternalData_43</vt:lpstr>
      <vt:lpstr>'BALANCE SHEET'!ExternalData_44</vt:lpstr>
      <vt:lpstr>FINANCIALS!ExternalData_44</vt:lpstr>
      <vt:lpstr>'PRICE SP500'!ExternalData_44</vt:lpstr>
      <vt:lpstr>'BALANCE SHEET'!ExternalData_45</vt:lpstr>
      <vt:lpstr>FINANCIALS!ExternalData_45</vt:lpstr>
      <vt:lpstr>'PORTFOLIO DATA'!ExternalData_45</vt:lpstr>
      <vt:lpstr>'PRICE DATA'!ExternalData_45</vt:lpstr>
      <vt:lpstr>'PRICE SP500'!ExternalData_45</vt:lpstr>
      <vt:lpstr>'BALANCE SHEET'!ExternalData_46</vt:lpstr>
      <vt:lpstr>FINANCIALS!ExternalData_46</vt:lpstr>
      <vt:lpstr>'PORTFOLIO DATA'!ExternalData_46</vt:lpstr>
      <vt:lpstr>'PRICE SP500'!ExternalData_46</vt:lpstr>
      <vt:lpstr>'BALANCE SHEET'!ExternalData_47</vt:lpstr>
      <vt:lpstr>FINANCIALS!ExternalData_47</vt:lpstr>
      <vt:lpstr>'PORTFOLIO DATA'!ExternalData_47</vt:lpstr>
      <vt:lpstr>'PRICE SP500'!ExternalData_47</vt:lpstr>
      <vt:lpstr>'BALANCE SHEET'!ExternalData_48</vt:lpstr>
      <vt:lpstr>FINANCIALS!ExternalData_48</vt:lpstr>
      <vt:lpstr>'PORTFOLIO DATA'!ExternalData_48</vt:lpstr>
      <vt:lpstr>'PRICE SP500'!ExternalData_48</vt:lpstr>
      <vt:lpstr>'BALANCE SHEET'!ExternalData_49</vt:lpstr>
      <vt:lpstr>FINANCIALS!ExternalData_49</vt:lpstr>
      <vt:lpstr>'PORTFOLIO DATA'!ExternalData_49</vt:lpstr>
      <vt:lpstr>'PRICE SP500'!ExternalData_49</vt:lpstr>
      <vt:lpstr>'BALANCE SHEET'!ExternalData_5</vt:lpstr>
      <vt:lpstr>FINANCIALS!ExternalData_5</vt:lpstr>
      <vt:lpstr>'PORTFOLIO DATA'!ExternalData_5</vt:lpstr>
      <vt:lpstr>'PRICE SP500'!ExternalData_5</vt:lpstr>
      <vt:lpstr>'BALANCE SHEET'!ExternalData_50</vt:lpstr>
      <vt:lpstr>FINANCIALS!ExternalData_50</vt:lpstr>
      <vt:lpstr>'PORTFOLIO DATA'!ExternalData_50</vt:lpstr>
      <vt:lpstr>'PRICE SP500'!ExternalData_50</vt:lpstr>
      <vt:lpstr>'BALANCE SHEET'!ExternalData_51</vt:lpstr>
      <vt:lpstr>FINANCIALS!ExternalData_51</vt:lpstr>
      <vt:lpstr>'PORTFOLIO DATA'!ExternalData_51</vt:lpstr>
      <vt:lpstr>'PRICE SP500'!ExternalData_51</vt:lpstr>
      <vt:lpstr>'BALANCE SHEET'!ExternalData_52</vt:lpstr>
      <vt:lpstr>FINANCIALS!ExternalData_52</vt:lpstr>
      <vt:lpstr>'PORTFOLIO DATA'!ExternalData_52</vt:lpstr>
      <vt:lpstr>'PRICE SP500'!ExternalData_52</vt:lpstr>
      <vt:lpstr>'BALANCE SHEET'!ExternalData_53</vt:lpstr>
      <vt:lpstr>FINANCIALS!ExternalData_53</vt:lpstr>
      <vt:lpstr>'PORTFOLIO DATA'!ExternalData_53</vt:lpstr>
      <vt:lpstr>'PRICE DATA'!ExternalData_53</vt:lpstr>
      <vt:lpstr>'PRICE SP500'!ExternalData_53</vt:lpstr>
      <vt:lpstr>'BALANCE SHEET'!ExternalData_54</vt:lpstr>
      <vt:lpstr>FINANCIALS!ExternalData_54</vt:lpstr>
      <vt:lpstr>'PORTFOLIO DATA'!ExternalData_54</vt:lpstr>
      <vt:lpstr>'PRICE SP500'!ExternalData_54</vt:lpstr>
      <vt:lpstr>'BALANCE SHEET'!ExternalData_55</vt:lpstr>
      <vt:lpstr>FINANCIALS!ExternalData_55</vt:lpstr>
      <vt:lpstr>'PORTFOLIO DATA'!ExternalData_55</vt:lpstr>
      <vt:lpstr>'PRICE SP500'!ExternalData_55</vt:lpstr>
      <vt:lpstr>'BALANCE SHEET'!ExternalData_56</vt:lpstr>
      <vt:lpstr>FINANCIALS!ExternalData_56</vt:lpstr>
      <vt:lpstr>'PORTFOLIO DATA'!ExternalData_56</vt:lpstr>
      <vt:lpstr>'PRICE DATA'!ExternalData_56</vt:lpstr>
      <vt:lpstr>'PRICE SP500'!ExternalData_56</vt:lpstr>
      <vt:lpstr>'BALANCE SHEET'!ExternalData_57</vt:lpstr>
      <vt:lpstr>FINANCIALS!ExternalData_57</vt:lpstr>
      <vt:lpstr>'PORTFOLIO DATA'!ExternalData_57</vt:lpstr>
      <vt:lpstr>'PRICE DATA'!ExternalData_57</vt:lpstr>
      <vt:lpstr>'PRICE SP500'!ExternalData_57</vt:lpstr>
      <vt:lpstr>'BALANCE SHEET'!ExternalData_58</vt:lpstr>
      <vt:lpstr>FINANCIALS!ExternalData_58</vt:lpstr>
      <vt:lpstr>'PORTFOLIO DATA'!ExternalData_58</vt:lpstr>
      <vt:lpstr>'PRICE SP500'!ExternalData_58</vt:lpstr>
      <vt:lpstr>'BALANCE SHEET'!ExternalData_59</vt:lpstr>
      <vt:lpstr>FINANCIALS!ExternalData_59</vt:lpstr>
      <vt:lpstr>'PORTFOLIO DATA'!ExternalData_59</vt:lpstr>
      <vt:lpstr>'PRICE SP500'!ExternalData_59</vt:lpstr>
      <vt:lpstr>'BALANCE SHEET'!ExternalData_6</vt:lpstr>
      <vt:lpstr>FINANCIALS!ExternalData_6</vt:lpstr>
      <vt:lpstr>'PORTFOLIO DATA'!ExternalData_6</vt:lpstr>
      <vt:lpstr>'PRICE SP500'!ExternalData_6</vt:lpstr>
      <vt:lpstr>'BALANCE SHEET'!ExternalData_60</vt:lpstr>
      <vt:lpstr>FINANCIALS!ExternalData_60</vt:lpstr>
      <vt:lpstr>'PORTFOLIO DATA'!ExternalData_60</vt:lpstr>
      <vt:lpstr>'PRICE DATA'!ExternalData_60</vt:lpstr>
      <vt:lpstr>'PRICE SP500'!ExternalData_60</vt:lpstr>
      <vt:lpstr>'BALANCE SHEET'!ExternalData_61</vt:lpstr>
      <vt:lpstr>FINANCIALS!ExternalData_61</vt:lpstr>
      <vt:lpstr>'PORTFOLIO DATA'!ExternalData_61</vt:lpstr>
      <vt:lpstr>'PRICE SP500'!ExternalData_61</vt:lpstr>
      <vt:lpstr>FINANCIALS!ExternalData_62</vt:lpstr>
      <vt:lpstr>'PORTFOLIO DATA'!ExternalData_62</vt:lpstr>
      <vt:lpstr>'PRICE SP500'!ExternalData_62</vt:lpstr>
      <vt:lpstr>'PORTFOLIO DATA'!ExternalData_63</vt:lpstr>
      <vt:lpstr>'PORTFOLIO DATA'!ExternalData_64</vt:lpstr>
      <vt:lpstr>'PRICE DATA'!ExternalData_64</vt:lpstr>
      <vt:lpstr>'PORTFOLIO DATA'!ExternalData_65</vt:lpstr>
      <vt:lpstr>'PORTFOLIO DATA'!ExternalData_66</vt:lpstr>
      <vt:lpstr>'PRICE DATA'!ExternalData_66</vt:lpstr>
      <vt:lpstr>'PORTFOLIO DATA'!ExternalData_67</vt:lpstr>
      <vt:lpstr>'PRICE DATA'!ExternalData_67</vt:lpstr>
      <vt:lpstr>'PORTFOLIO DATA'!ExternalData_68</vt:lpstr>
      <vt:lpstr>'PORTFOLIO DATA'!ExternalData_69</vt:lpstr>
      <vt:lpstr>'PRICE DATA'!ExternalData_69</vt:lpstr>
      <vt:lpstr>'BALANCE SHEET'!ExternalData_7</vt:lpstr>
      <vt:lpstr>FINANCIALS!ExternalData_7</vt:lpstr>
      <vt:lpstr>'PORTFOLIO DATA'!ExternalData_7</vt:lpstr>
      <vt:lpstr>'PRICE SP500'!ExternalData_7</vt:lpstr>
      <vt:lpstr>'PORTFOLIO DATA'!ExternalData_70</vt:lpstr>
      <vt:lpstr>'PORTFOLIO DATA'!ExternalData_71</vt:lpstr>
      <vt:lpstr>'PORTFOLIO DATA'!ExternalData_72</vt:lpstr>
      <vt:lpstr>'PRICE DATA'!ExternalData_72</vt:lpstr>
      <vt:lpstr>'PORTFOLIO DATA'!ExternalData_73</vt:lpstr>
      <vt:lpstr>'PORTFOLIO DATA'!ExternalData_74</vt:lpstr>
      <vt:lpstr>'PRICE DATA'!ExternalData_74</vt:lpstr>
      <vt:lpstr>'PORTFOLIO DATA'!ExternalData_75</vt:lpstr>
      <vt:lpstr>'PRICE DATA'!ExternalData_75</vt:lpstr>
      <vt:lpstr>'PORTFOLIO DATA'!ExternalData_76</vt:lpstr>
      <vt:lpstr>'PRICE DATA'!ExternalData_76</vt:lpstr>
      <vt:lpstr>'PORTFOLIO DATA'!ExternalData_77</vt:lpstr>
      <vt:lpstr>'PRICE DATA'!ExternalData_77</vt:lpstr>
      <vt:lpstr>'PORTFOLIO DATA'!ExternalData_78</vt:lpstr>
      <vt:lpstr>'PRICE DATA'!ExternalData_78</vt:lpstr>
      <vt:lpstr>'BALANCE SHEET'!ExternalData_8</vt:lpstr>
      <vt:lpstr>FINANCIALS!ExternalData_8</vt:lpstr>
      <vt:lpstr>'PORTFOLIO DATA'!ExternalData_8</vt:lpstr>
      <vt:lpstr>'PRICE SP500'!ExternalData_8</vt:lpstr>
      <vt:lpstr>'PRICE DATA'!ExternalData_80</vt:lpstr>
      <vt:lpstr>'PRICE DATA'!ExternalData_81</vt:lpstr>
      <vt:lpstr>'PRICE DATA'!ExternalData_82</vt:lpstr>
      <vt:lpstr>'PRICE DATA'!ExternalData_83</vt:lpstr>
      <vt:lpstr>'PRICE DATA'!ExternalData_84</vt:lpstr>
      <vt:lpstr>'PRICE DATA'!ExternalData_85</vt:lpstr>
      <vt:lpstr>'PRICE DATA'!ExternalData_86</vt:lpstr>
      <vt:lpstr>'PRICE DATA'!ExternalData_87</vt:lpstr>
      <vt:lpstr>'PRICE DATA'!ExternalData_88</vt:lpstr>
      <vt:lpstr>'PRICE DATA'!ExternalData_89</vt:lpstr>
      <vt:lpstr>'BALANCE SHEET'!ExternalData_9</vt:lpstr>
      <vt:lpstr>FINANCIALS!ExternalData_9</vt:lpstr>
      <vt:lpstr>'PORTFOLIO DATA'!ExternalData_9</vt:lpstr>
      <vt:lpstr>'PRICE SP500'!ExternalData_9</vt:lpstr>
      <vt:lpstr>'PRICE DATA'!ExternalData_91</vt:lpstr>
      <vt:lpstr>'PRICE DATA'!ExternalData_92</vt:lpstr>
      <vt:lpstr>'PRICE DATA'!ExternalData_93</vt:lpstr>
      <vt:lpstr>'PRICE DATA'!ExternalData_94</vt:lpstr>
      <vt:lpstr>'PRICE DATA'!ExternalData_95</vt:lpstr>
      <vt:lpstr>'PRICE DATA'!ExternalData_96</vt:lpstr>
      <vt:lpstr>'PRICE DATA'!ExternalData_97</vt:lpstr>
      <vt:lpstr>'PRICE DATA'!ExternalData_98</vt:lpstr>
      <vt:lpstr>'PRICE DATA'!ExternalData_99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FILIPPO DE MIN</dc:creator>
  <cp:lastModifiedBy>LUCA, FLAVIO, ROBERT D'AMBROSIO</cp:lastModifiedBy>
  <dcterms:created xsi:type="dcterms:W3CDTF">2024-11-29T11:45:37Z</dcterms:created>
  <dcterms:modified xsi:type="dcterms:W3CDTF">2025-01-07T18:51:57Z</dcterms:modified>
</cp:coreProperties>
</file>